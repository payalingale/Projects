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payalingale01/Downloads/"/>
    </mc:Choice>
  </mc:AlternateContent>
  <xr:revisionPtr revIDLastSave="0" documentId="13_ncr:1_{E606A64B-A645-F744-87B8-20BAA9D2559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wan LMS UAT Test Case-B Sc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<sst xmlns="http://schemas.openxmlformats.org/spreadsheetml/2006/main" count="99" uniqueCount="95">
  <si>
    <t>Mock Borrower Profile (test record)</t>
  </si>
  <si>
    <t>Customer Profile</t>
  </si>
  <si>
    <t>Borrower Name</t>
  </si>
  <si>
    <t>Contacts</t>
  </si>
  <si>
    <t>info@alfajr.com.sa, 050-123-4567</t>
  </si>
  <si>
    <t>Address</t>
  </si>
  <si>
    <t>Riyadh, Industrial Area, 2nd Street, Building 45</t>
  </si>
  <si>
    <t>CR Number</t>
  </si>
  <si>
    <t>1019988776</t>
  </si>
  <si>
    <t>CR Expiry</t>
  </si>
  <si>
    <t>20-Nov-2027</t>
  </si>
  <si>
    <t>Business Age</t>
  </si>
  <si>
    <t>Business Activity</t>
  </si>
  <si>
    <t>Owner Name</t>
  </si>
  <si>
    <t>Faisal Al Najm</t>
  </si>
  <si>
    <t>Owner National ID</t>
  </si>
  <si>
    <t>1013344556</t>
  </si>
  <si>
    <t>Legal Form (Sole Ownership / LLC)</t>
  </si>
  <si>
    <t>Sole Ownership</t>
  </si>
  <si>
    <t>Bank Name</t>
  </si>
  <si>
    <t>IBAN</t>
  </si>
  <si>
    <t>SA0300000000123456789002</t>
  </si>
  <si>
    <t>VAT No.</t>
  </si>
  <si>
    <t>31025678900012</t>
  </si>
  <si>
    <t>SAR 3,300,000</t>
  </si>
  <si>
    <t>Awan Risk Grade</t>
  </si>
  <si>
    <t xml:space="preserve">Loan Inputs </t>
  </si>
  <si>
    <t>Product</t>
  </si>
  <si>
    <t>Application Date</t>
  </si>
  <si>
    <t>Loan Reference #</t>
  </si>
  <si>
    <t>Application Channel</t>
  </si>
  <si>
    <t>Web Portal</t>
  </si>
  <si>
    <t>Loan Status</t>
  </si>
  <si>
    <t>Loan Status Update Date</t>
  </si>
  <si>
    <t>Approved by</t>
  </si>
  <si>
    <t>Approval Date</t>
  </si>
  <si>
    <t>Disbursement Date</t>
  </si>
  <si>
    <t>Frequency</t>
  </si>
  <si>
    <t>Monthly</t>
  </si>
  <si>
    <t>Onboarding</t>
  </si>
  <si>
    <t>Underwriting</t>
  </si>
  <si>
    <t>Approval</t>
  </si>
  <si>
    <t>Active (Performing)</t>
  </si>
  <si>
    <t>Past Due</t>
  </si>
  <si>
    <t>Non Performing</t>
  </si>
  <si>
    <t>Early Settlement</t>
  </si>
  <si>
    <t>Restructured</t>
  </si>
  <si>
    <t>Underwriter</t>
  </si>
  <si>
    <t>Underwriter – Ops (Maker)</t>
  </si>
  <si>
    <t>Head of Credit</t>
  </si>
  <si>
    <t>CRO</t>
  </si>
  <si>
    <t>App</t>
  </si>
  <si>
    <t>LLC (One Partner)</t>
  </si>
  <si>
    <t>LLC (Multiple Partners)</t>
  </si>
  <si>
    <t>SNB</t>
  </si>
  <si>
    <t>Total Declared Annual Revenue (SAR)</t>
  </si>
  <si>
    <t>Total Declared Annual Net Profit (SAR)</t>
  </si>
  <si>
    <t xml:space="preserve">Net Profit Margin </t>
  </si>
  <si>
    <t>Total Bank Deposits (SAR)</t>
  </si>
  <si>
    <t>Total Bank Withdrwals (SAR)</t>
  </si>
  <si>
    <t>Average Account Balance (SAR)</t>
  </si>
  <si>
    <t>B</t>
  </si>
  <si>
    <t>5 years</t>
  </si>
  <si>
    <t xml:space="preserve">Business Sector </t>
  </si>
  <si>
    <t>Trading</t>
  </si>
  <si>
    <t>SME Cash Loan (Tawaruq)</t>
  </si>
  <si>
    <t>RapidLine Cargo &amp; Transport Est.</t>
  </si>
  <si>
    <r>
      <t>ISIC Code:</t>
    </r>
    <r>
      <rPr>
        <sz val="11"/>
        <color theme="1"/>
        <rFont val="Calibri"/>
        <family val="2"/>
        <scheme val="minor"/>
      </rPr>
      <t xml:space="preserve"> 4923 – Freight Transport by Road</t>
    </r>
  </si>
  <si>
    <t>LMS UAT Test Case # 2 - B Score</t>
  </si>
  <si>
    <t>Total Debt Exposure (SAR)</t>
  </si>
  <si>
    <t>Total Credit Lines (SAR)</t>
  </si>
  <si>
    <t xml:space="preserve">Monthly Instalments </t>
  </si>
  <si>
    <t>Owner's DOB</t>
  </si>
  <si>
    <t>Finance Amount</t>
  </si>
  <si>
    <t>Tenor</t>
  </si>
  <si>
    <t>24 months</t>
  </si>
  <si>
    <t>Profit Rate (Reducing)</t>
  </si>
  <si>
    <t>Monthly Installment</t>
  </si>
  <si>
    <t>Total Repayment</t>
  </si>
  <si>
    <t>Total Profit</t>
  </si>
  <si>
    <t>Total Admin + VAT</t>
  </si>
  <si>
    <t>Net Disbursed</t>
  </si>
  <si>
    <t>APR (Estimated)</t>
  </si>
  <si>
    <t>SAR 145,600</t>
  </si>
  <si>
    <t>18.2% p.a.</t>
  </si>
  <si>
    <t>SAR 7,291.67</t>
  </si>
  <si>
    <t>VAT on Admin Fee (15%)</t>
  </si>
  <si>
    <t>SAR 436.80</t>
  </si>
  <si>
    <t>SAR 3,348.80</t>
  </si>
  <si>
    <t>≈ 22.9%</t>
  </si>
  <si>
    <t>Admin Fee (2%, Min SAR 2,000)</t>
  </si>
  <si>
    <t>SAR 2,912</t>
  </si>
  <si>
    <r>
      <t>SAR 29,399.99</t>
    </r>
    <r>
      <rPr>
        <sz val="11"/>
        <color theme="1"/>
        <rFont val="Calibri"/>
        <family val="2"/>
        <scheme val="minor"/>
      </rPr>
      <t xml:space="preserve"> </t>
    </r>
  </si>
  <si>
    <r>
      <t>SAR 142,251.20</t>
    </r>
    <r>
      <rPr>
        <sz val="11"/>
        <color theme="1"/>
        <rFont val="Calibri"/>
        <family val="2"/>
        <scheme val="minor"/>
      </rPr>
      <t xml:space="preserve"> </t>
    </r>
  </si>
  <si>
    <t xml:space="preserve">SAR 174,999.99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</si>
</sst>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1D1C1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4" borderId="0">
      <alignment horizontal="center"/>
    </xf>
    <xf numFmtId="9" fontId="3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</cellXfs>
  <cellStyles count="3">
    <cellStyle name="header_style" xfId="1" xr:uid="{00000000-0005-0000-0000-000001000000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B36" sqref="B36"/>
    </sheetView>
  </sheetViews>
  <sheetFormatPr baseColWidth="10" defaultColWidth="8.83203125" defaultRowHeight="15" x14ac:dyDescent="0.2"/>
  <cols>
    <col min="1" max="1" width="39.1640625" bestFit="1" customWidth="1"/>
    <col min="2" max="2" width="54.5" customWidth="1"/>
  </cols>
  <sheetData>
    <row r="1" spans="1:2" ht="16" x14ac:dyDescent="0.2">
      <c r="A1" s="19" t="s">
        <v>68</v>
      </c>
      <c r="B1" s="20"/>
    </row>
    <row r="2" spans="1:2" x14ac:dyDescent="0.2">
      <c r="A2" s="18" t="s">
        <v>0</v>
      </c>
      <c r="B2" s="17"/>
    </row>
    <row r="3" spans="1:2" x14ac:dyDescent="0.2">
      <c r="A3" s="16" t="s">
        <v>1</v>
      </c>
      <c r="B3" s="17"/>
    </row>
    <row r="4" spans="1:2" x14ac:dyDescent="0.2">
      <c r="A4" s="14" t="s">
        <v>2</v>
      </c>
      <c r="B4" s="9" t="s">
        <v>66</v>
      </c>
    </row>
    <row r="5" spans="1:2" x14ac:dyDescent="0.2">
      <c r="A5" s="14" t="s">
        <v>3</v>
      </c>
      <c r="B5" s="1" t="s">
        <v>4</v>
      </c>
    </row>
    <row r="6" spans="1:2" x14ac:dyDescent="0.2">
      <c r="A6" s="14" t="s">
        <v>5</v>
      </c>
      <c r="B6" s="1" t="s">
        <v>6</v>
      </c>
    </row>
    <row r="7" spans="1:2" x14ac:dyDescent="0.2">
      <c r="A7" s="14" t="s">
        <v>7</v>
      </c>
      <c r="B7" s="1" t="s">
        <v>8</v>
      </c>
    </row>
    <row r="8" spans="1:2" x14ac:dyDescent="0.2">
      <c r="A8" s="14" t="s">
        <v>9</v>
      </c>
      <c r="B8" s="1" t="s">
        <v>10</v>
      </c>
    </row>
    <row r="9" spans="1:2" x14ac:dyDescent="0.2">
      <c r="A9" s="15" t="s">
        <v>11</v>
      </c>
      <c r="B9" s="1" t="s">
        <v>62</v>
      </c>
    </row>
    <row r="10" spans="1:2" x14ac:dyDescent="0.2">
      <c r="A10" s="14" t="s">
        <v>63</v>
      </c>
      <c r="B10" s="1" t="s">
        <v>64</v>
      </c>
    </row>
    <row r="11" spans="1:2" x14ac:dyDescent="0.2">
      <c r="A11" s="14" t="s">
        <v>12</v>
      </c>
      <c r="B11" s="9" t="s">
        <v>67</v>
      </c>
    </row>
    <row r="12" spans="1:2" x14ac:dyDescent="0.2">
      <c r="A12" s="14" t="s">
        <v>13</v>
      </c>
      <c r="B12" s="1" t="s">
        <v>14</v>
      </c>
    </row>
    <row r="13" spans="1:2" x14ac:dyDescent="0.2">
      <c r="A13" s="14" t="s">
        <v>15</v>
      </c>
      <c r="B13" s="1" t="s">
        <v>16</v>
      </c>
    </row>
    <row r="14" spans="1:2" x14ac:dyDescent="0.2">
      <c r="A14" s="14" t="s">
        <v>72</v>
      </c>
      <c r="B14" s="11">
        <v>31048</v>
      </c>
    </row>
    <row r="15" spans="1:2" x14ac:dyDescent="0.2">
      <c r="A15" s="14" t="s">
        <v>17</v>
      </c>
      <c r="B15" s="8" t="s">
        <v>18</v>
      </c>
    </row>
    <row r="16" spans="1:2" x14ac:dyDescent="0.2">
      <c r="A16" s="14" t="s">
        <v>19</v>
      </c>
      <c r="B16" s="1" t="s">
        <v>54</v>
      </c>
    </row>
    <row r="17" spans="1:4" x14ac:dyDescent="0.2">
      <c r="A17" s="14" t="s">
        <v>20</v>
      </c>
      <c r="B17" s="1" t="s">
        <v>21</v>
      </c>
    </row>
    <row r="18" spans="1:4" x14ac:dyDescent="0.2">
      <c r="A18" s="14" t="s">
        <v>22</v>
      </c>
      <c r="B18" s="1" t="s">
        <v>23</v>
      </c>
    </row>
    <row r="19" spans="1:4" x14ac:dyDescent="0.2">
      <c r="A19" s="14" t="s">
        <v>55</v>
      </c>
      <c r="B19" s="7">
        <v>3500000</v>
      </c>
    </row>
    <row r="20" spans="1:4" x14ac:dyDescent="0.2">
      <c r="A20" s="14" t="s">
        <v>56</v>
      </c>
      <c r="B20" s="7">
        <v>350000</v>
      </c>
    </row>
    <row r="21" spans="1:4" x14ac:dyDescent="0.2">
      <c r="A21" s="14" t="s">
        <v>57</v>
      </c>
      <c r="B21" s="4">
        <f>B20/B19</f>
        <v>0.1</v>
      </c>
    </row>
    <row r="22" spans="1:4" x14ac:dyDescent="0.2">
      <c r="A22" s="14" t="s">
        <v>58</v>
      </c>
      <c r="B22" s="7">
        <v>3450000</v>
      </c>
    </row>
    <row r="23" spans="1:4" x14ac:dyDescent="0.2">
      <c r="A23" s="14" t="s">
        <v>59</v>
      </c>
      <c r="B23" s="1" t="s">
        <v>24</v>
      </c>
    </row>
    <row r="24" spans="1:4" x14ac:dyDescent="0.2">
      <c r="A24" s="14" t="s">
        <v>60</v>
      </c>
      <c r="B24" s="7">
        <v>42000</v>
      </c>
      <c r="D24" s="10"/>
    </row>
    <row r="25" spans="1:4" x14ac:dyDescent="0.2">
      <c r="A25" s="14" t="s">
        <v>69</v>
      </c>
      <c r="B25" s="7">
        <v>200000</v>
      </c>
      <c r="D25" s="10"/>
    </row>
    <row r="26" spans="1:4" x14ac:dyDescent="0.2">
      <c r="A26" s="14" t="s">
        <v>70</v>
      </c>
      <c r="B26" s="7">
        <v>20000</v>
      </c>
      <c r="D26" s="10"/>
    </row>
    <row r="27" spans="1:4" x14ac:dyDescent="0.2">
      <c r="A27" s="14" t="s">
        <v>71</v>
      </c>
      <c r="B27" s="7">
        <v>3000</v>
      </c>
      <c r="D27" s="10"/>
    </row>
    <row r="28" spans="1:4" x14ac:dyDescent="0.2">
      <c r="A28" s="14" t="s">
        <v>25</v>
      </c>
      <c r="B28" s="1" t="s">
        <v>61</v>
      </c>
      <c r="D28" s="10"/>
    </row>
    <row r="29" spans="1:4" x14ac:dyDescent="0.2">
      <c r="A29" s="16" t="s">
        <v>26</v>
      </c>
      <c r="B29" s="17"/>
    </row>
    <row r="30" spans="1:4" x14ac:dyDescent="0.2">
      <c r="A30" s="15" t="s">
        <v>27</v>
      </c>
      <c r="B30" s="1" t="s">
        <v>65</v>
      </c>
    </row>
    <row r="31" spans="1:4" x14ac:dyDescent="0.2">
      <c r="A31" s="14" t="s">
        <v>28</v>
      </c>
      <c r="B31" s="6">
        <v>45940</v>
      </c>
    </row>
    <row r="32" spans="1:4" x14ac:dyDescent="0.2">
      <c r="A32" s="14" t="s">
        <v>29</v>
      </c>
      <c r="B32" s="8"/>
    </row>
    <row r="33" spans="1:2" x14ac:dyDescent="0.2">
      <c r="A33" s="14" t="s">
        <v>30</v>
      </c>
      <c r="B33" s="8" t="s">
        <v>31</v>
      </c>
    </row>
    <row r="34" spans="1:2" x14ac:dyDescent="0.2">
      <c r="A34" s="14" t="s">
        <v>32</v>
      </c>
      <c r="B34" s="8" t="s">
        <v>42</v>
      </c>
    </row>
    <row r="35" spans="1:2" x14ac:dyDescent="0.2">
      <c r="A35" s="14" t="s">
        <v>33</v>
      </c>
      <c r="B35" s="6">
        <v>45942</v>
      </c>
    </row>
    <row r="36" spans="1:2" ht="16" x14ac:dyDescent="0.2">
      <c r="A36" s="12" t="s">
        <v>73</v>
      </c>
      <c r="B36" s="13" t="s">
        <v>83</v>
      </c>
    </row>
    <row r="37" spans="1:2" ht="16" x14ac:dyDescent="0.2">
      <c r="A37" s="12" t="s">
        <v>74</v>
      </c>
      <c r="B37" s="13" t="s">
        <v>75</v>
      </c>
    </row>
    <row r="38" spans="1:2" ht="16" x14ac:dyDescent="0.2">
      <c r="A38" s="12" t="s">
        <v>76</v>
      </c>
      <c r="B38" s="13" t="s">
        <v>84</v>
      </c>
    </row>
    <row r="39" spans="1:2" ht="16" x14ac:dyDescent="0.2">
      <c r="A39" s="12" t="s">
        <v>77</v>
      </c>
      <c r="B39" s="13" t="s">
        <v>85</v>
      </c>
    </row>
    <row r="40" spans="1:2" x14ac:dyDescent="0.2">
      <c r="A40" s="14" t="s">
        <v>37</v>
      </c>
      <c r="B40" s="1" t="s">
        <v>38</v>
      </c>
    </row>
    <row r="41" spans="1:2" ht="16" x14ac:dyDescent="0.2">
      <c r="A41" s="12" t="s">
        <v>78</v>
      </c>
      <c r="B41" s="13" t="s">
        <v>94</v>
      </c>
    </row>
    <row r="42" spans="1:2" ht="16" x14ac:dyDescent="0.2">
      <c r="A42" s="12" t="s">
        <v>79</v>
      </c>
      <c r="B42" s="13" t="s">
        <v>92</v>
      </c>
    </row>
    <row r="43" spans="1:2" ht="16" x14ac:dyDescent="0.2">
      <c r="A43" s="12" t="s">
        <v>90</v>
      </c>
      <c r="B43" s="13" t="s">
        <v>91</v>
      </c>
    </row>
    <row r="44" spans="1:2" ht="16" x14ac:dyDescent="0.2">
      <c r="A44" s="12" t="s">
        <v>86</v>
      </c>
      <c r="B44" s="13" t="s">
        <v>87</v>
      </c>
    </row>
    <row r="45" spans="1:2" ht="16" x14ac:dyDescent="0.2">
      <c r="A45" s="12" t="s">
        <v>80</v>
      </c>
      <c r="B45" s="13" t="s">
        <v>88</v>
      </c>
    </row>
    <row r="46" spans="1:2" ht="16" x14ac:dyDescent="0.2">
      <c r="A46" s="12" t="s">
        <v>81</v>
      </c>
      <c r="B46" s="13" t="s">
        <v>93</v>
      </c>
    </row>
    <row r="47" spans="1:2" ht="16" x14ac:dyDescent="0.2">
      <c r="A47" s="12" t="s">
        <v>82</v>
      </c>
      <c r="B47" s="13" t="s">
        <v>89</v>
      </c>
    </row>
    <row r="48" spans="1:2" x14ac:dyDescent="0.2">
      <c r="A48" s="14" t="s">
        <v>34</v>
      </c>
      <c r="B48" s="8" t="s">
        <v>49</v>
      </c>
    </row>
    <row r="49" spans="1:2" x14ac:dyDescent="0.2">
      <c r="A49" s="14" t="s">
        <v>35</v>
      </c>
      <c r="B49" s="6">
        <v>45942</v>
      </c>
    </row>
    <row r="50" spans="1:2" x14ac:dyDescent="0.2">
      <c r="A50" s="14" t="s">
        <v>36</v>
      </c>
      <c r="B50" s="6">
        <v>45942</v>
      </c>
    </row>
    <row r="60" spans="1:2" x14ac:dyDescent="0.2">
      <c r="A60" s="3" t="s">
        <v>39</v>
      </c>
    </row>
    <row r="61" spans="1:2" x14ac:dyDescent="0.2">
      <c r="A61" s="3" t="s">
        <v>40</v>
      </c>
    </row>
    <row r="62" spans="1:2" x14ac:dyDescent="0.2">
      <c r="A62" s="3" t="s">
        <v>41</v>
      </c>
    </row>
    <row r="63" spans="1:2" x14ac:dyDescent="0.2">
      <c r="A63" s="3" t="s">
        <v>42</v>
      </c>
    </row>
    <row r="64" spans="1:2" x14ac:dyDescent="0.2">
      <c r="A64" s="3" t="s">
        <v>43</v>
      </c>
    </row>
    <row r="65" spans="1:2" x14ac:dyDescent="0.2">
      <c r="A65" s="5" t="s">
        <v>44</v>
      </c>
    </row>
    <row r="66" spans="1:2" x14ac:dyDescent="0.2">
      <c r="A66" s="3" t="s">
        <v>45</v>
      </c>
    </row>
    <row r="67" spans="1:2" x14ac:dyDescent="0.2">
      <c r="A67" s="3" t="s">
        <v>46</v>
      </c>
    </row>
    <row r="69" spans="1:2" x14ac:dyDescent="0.2">
      <c r="A69" s="2" t="s">
        <v>47</v>
      </c>
      <c r="B69" t="s">
        <v>48</v>
      </c>
    </row>
    <row r="70" spans="1:2" x14ac:dyDescent="0.2">
      <c r="A70" s="2" t="s">
        <v>49</v>
      </c>
    </row>
    <row r="71" spans="1:2" x14ac:dyDescent="0.2">
      <c r="A71" s="2" t="s">
        <v>50</v>
      </c>
    </row>
    <row r="73" spans="1:2" x14ac:dyDescent="0.2">
      <c r="A73" s="3" t="s">
        <v>31</v>
      </c>
    </row>
    <row r="74" spans="1:2" x14ac:dyDescent="0.2">
      <c r="A74" s="2" t="s">
        <v>51</v>
      </c>
    </row>
    <row r="76" spans="1:2" x14ac:dyDescent="0.2">
      <c r="A76" t="s">
        <v>18</v>
      </c>
    </row>
    <row r="77" spans="1:2" x14ac:dyDescent="0.2">
      <c r="A77" t="s">
        <v>52</v>
      </c>
    </row>
    <row r="78" spans="1:2" x14ac:dyDescent="0.2">
      <c r="A78" t="s">
        <v>53</v>
      </c>
    </row>
  </sheetData>
  <mergeCells count="4">
    <mergeCell ref="A29:B29"/>
    <mergeCell ref="A2:B2"/>
    <mergeCell ref="A3:B3"/>
    <mergeCell ref="A1:B1"/>
  </mergeCells>
  <dataValidations disablePrompts="1" count="4">
    <dataValidation type="list" allowBlank="1" showInputMessage="1" showErrorMessage="1" sqref="B33" xr:uid="{00000000-0002-0000-0000-000000000000}">
      <formula1>$A$73:$A$74</formula1>
    </dataValidation>
    <dataValidation type="list" allowBlank="1" showInputMessage="1" showErrorMessage="1" sqref="B48" xr:uid="{00000000-0002-0000-0000-000001000000}">
      <formula1>$A$69:$A$71</formula1>
    </dataValidation>
    <dataValidation type="list" allowBlank="1" showInputMessage="1" showErrorMessage="1" sqref="B34" xr:uid="{00000000-0002-0000-0000-000002000000}">
      <formula1>$A$60:$A$67</formula1>
    </dataValidation>
    <dataValidation type="list" allowBlank="1" showInputMessage="1" showErrorMessage="1" sqref="B15" xr:uid="{00000000-0002-0000-0000-000003000000}">
      <formula1>$A$76:$A$78</formula1>
    </dataValidation>
  </dataValidations>
  <pageMargins left="0.75" right="0.75" top="1" bottom="1" header="0.5" footer="0.5"/>
  <pageSetup paperSize="9" orientation="portrait" horizontalDpi="0" verticalDpi="0"/>
  <ignoredErrors>
    <ignoredError sqref="B7 B13 B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Awan LMS UAT Test Case-B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Payal Ingale</cp:lastModifiedBy>
  <dcterms:created xsi:type="dcterms:W3CDTF">2025-10-30T11:01:34Z</dcterms:created>
  <dcterms:modified xsi:type="dcterms:W3CDTF">2025-12-03T11:33:13Z</dcterms:modified>
</cp:coreProperties>
</file>