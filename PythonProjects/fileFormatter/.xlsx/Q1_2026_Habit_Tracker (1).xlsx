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ayalingale01/Downloads/"/>
    </mc:Choice>
  </mc:AlternateContent>
  <xr:revisionPtr revIDLastSave="0" documentId="13_ncr:1_{A933DC83-4795-1B47-ADFC-D1597696C2E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Q1 2026 Daily Tracker" sheetId="1" r:id="rId1"/>
    <sheet name="Daily Routine" sheetId="2" r:id="rId2"/>
    <sheet name="Monthly Summary" sheetId="3" r:id="rId3"/>
    <sheet name="Weekly View" sheetId="4" r:id="rId4"/>
    <sheet name="Goals &amp; Milestones" sheetId="5" r:id="rId5"/>
    <sheet name="How to U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C11" i="3"/>
  <c r="B11" i="3"/>
  <c r="E11" i="3" s="1"/>
  <c r="D9" i="3"/>
  <c r="C9" i="3"/>
  <c r="B9" i="3"/>
  <c r="E9" i="3" s="1"/>
  <c r="D8" i="3"/>
  <c r="C8" i="3"/>
  <c r="B8" i="3"/>
  <c r="E8" i="3" s="1"/>
  <c r="D7" i="3"/>
  <c r="C7" i="3"/>
  <c r="B7" i="3"/>
  <c r="E7" i="3" s="1"/>
  <c r="D6" i="3"/>
  <c r="C6" i="3"/>
  <c r="B6" i="3"/>
  <c r="E6" i="3" s="1"/>
  <c r="D5" i="3"/>
  <c r="C5" i="3"/>
  <c r="B5" i="3"/>
  <c r="E5" i="3" s="1"/>
  <c r="D4" i="3"/>
  <c r="C4" i="3"/>
  <c r="B4" i="3"/>
  <c r="E4" i="3" s="1"/>
  <c r="D3" i="3"/>
  <c r="C3" i="3"/>
  <c r="B3" i="3"/>
  <c r="E3" i="3" s="1"/>
  <c r="D2" i="3"/>
  <c r="C2" i="3"/>
  <c r="B2" i="3"/>
  <c r="E2" i="3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D12" i="3" s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C12" i="3" s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B12" i="3" s="1"/>
  <c r="E12" i="3" s="1"/>
</calcChain>
</file>

<file path=xl/sharedStrings.xml><?xml version="1.0" encoding="utf-8"?>
<sst xmlns="http://schemas.openxmlformats.org/spreadsheetml/2006/main" count="465" uniqueCount="349">
  <si>
    <t>Date</t>
  </si>
  <si>
    <t>Day</t>
  </si>
  <si>
    <t>Agentic AI
(hrs)</t>
  </si>
  <si>
    <t>Work
(hrs)</t>
  </si>
  <si>
    <t>Side Hustle
(hrs)</t>
  </si>
  <si>
    <t>Reading
(pages)</t>
  </si>
  <si>
    <t>Gym
(✓/min)</t>
  </si>
  <si>
    <t>Sleep
(hrs)</t>
  </si>
  <si>
    <t>Water
(L)</t>
  </si>
  <si>
    <t>Meditation
(min)</t>
  </si>
  <si>
    <t>Notes/Wins</t>
  </si>
  <si>
    <t>Score</t>
  </si>
  <si>
    <t>January 2026</t>
  </si>
  <si>
    <t>Jan 01</t>
  </si>
  <si>
    <t>Thu</t>
  </si>
  <si>
    <t>Jan 02</t>
  </si>
  <si>
    <t>Fri</t>
  </si>
  <si>
    <t>Jan 03</t>
  </si>
  <si>
    <t>Sat</t>
  </si>
  <si>
    <t>Jan 04</t>
  </si>
  <si>
    <t>Sun</t>
  </si>
  <si>
    <t>Jan 05</t>
  </si>
  <si>
    <t>Mon</t>
  </si>
  <si>
    <t>Jan 06</t>
  </si>
  <si>
    <t>Tue</t>
  </si>
  <si>
    <t>Jan 07</t>
  </si>
  <si>
    <t>Wed</t>
  </si>
  <si>
    <t>Jan 08</t>
  </si>
  <si>
    <t>Jan 09</t>
  </si>
  <si>
    <t>Jan 10</t>
  </si>
  <si>
    <t>Jan 11</t>
  </si>
  <si>
    <t>Jan 12</t>
  </si>
  <si>
    <t>Jan 13</t>
  </si>
  <si>
    <t>Jan 14</t>
  </si>
  <si>
    <t>Jan 15</t>
  </si>
  <si>
    <t>Jan 16</t>
  </si>
  <si>
    <t>Jan 17</t>
  </si>
  <si>
    <t>Jan 18</t>
  </si>
  <si>
    <t>Jan 19</t>
  </si>
  <si>
    <t>Jan 20</t>
  </si>
  <si>
    <t>Jan 21</t>
  </si>
  <si>
    <t>Jan 22</t>
  </si>
  <si>
    <t>Jan 23</t>
  </si>
  <si>
    <t>Jan 24</t>
  </si>
  <si>
    <t>Jan 25</t>
  </si>
  <si>
    <t>Jan 26</t>
  </si>
  <si>
    <t>Jan 27</t>
  </si>
  <si>
    <t>Jan 28</t>
  </si>
  <si>
    <t>Jan 29</t>
  </si>
  <si>
    <t>Jan 30</t>
  </si>
  <si>
    <t>Jan 31</t>
  </si>
  <si>
    <t>February 2026</t>
  </si>
  <si>
    <t>Feb 01</t>
  </si>
  <si>
    <t>Feb 02</t>
  </si>
  <si>
    <t>Feb 03</t>
  </si>
  <si>
    <t>Feb 04</t>
  </si>
  <si>
    <t>Feb 05</t>
  </si>
  <si>
    <t>Feb 06</t>
  </si>
  <si>
    <t>Feb 07</t>
  </si>
  <si>
    <t>Feb 08</t>
  </si>
  <si>
    <t>Feb 09</t>
  </si>
  <si>
    <t>Feb 10</t>
  </si>
  <si>
    <t>Feb 11</t>
  </si>
  <si>
    <t>Feb 12</t>
  </si>
  <si>
    <t>Feb 13</t>
  </si>
  <si>
    <t>Feb 14</t>
  </si>
  <si>
    <t>Feb 15</t>
  </si>
  <si>
    <t>Feb 16</t>
  </si>
  <si>
    <t>Feb 17</t>
  </si>
  <si>
    <t>Feb 18</t>
  </si>
  <si>
    <t>Feb 19</t>
  </si>
  <si>
    <t>Feb 20</t>
  </si>
  <si>
    <t>Feb 21</t>
  </si>
  <si>
    <t>Feb 22</t>
  </si>
  <si>
    <t>Feb 23</t>
  </si>
  <si>
    <t>Feb 24</t>
  </si>
  <si>
    <t>Feb 25</t>
  </si>
  <si>
    <t>Feb 26</t>
  </si>
  <si>
    <t>Feb 27</t>
  </si>
  <si>
    <t>Feb 28</t>
  </si>
  <si>
    <t>March 2026</t>
  </si>
  <si>
    <t>Mar 01</t>
  </si>
  <si>
    <t>Mar 02</t>
  </si>
  <si>
    <t>Mar 03</t>
  </si>
  <si>
    <t>Mar 04</t>
  </si>
  <si>
    <t>Mar 05</t>
  </si>
  <si>
    <t>Mar 06</t>
  </si>
  <si>
    <t>Mar 07</t>
  </si>
  <si>
    <t>Mar 08</t>
  </si>
  <si>
    <t>Mar 09</t>
  </si>
  <si>
    <t>Mar 10</t>
  </si>
  <si>
    <t>Mar 11</t>
  </si>
  <si>
    <t>Mar 12</t>
  </si>
  <si>
    <t>Mar 13</t>
  </si>
  <si>
    <t>Mar 14</t>
  </si>
  <si>
    <t>Mar 15</t>
  </si>
  <si>
    <t>Mar 16</t>
  </si>
  <si>
    <t>Mar 17</t>
  </si>
  <si>
    <t>Mar 18</t>
  </si>
  <si>
    <t>Mar 19</t>
  </si>
  <si>
    <t>Mar 20</t>
  </si>
  <si>
    <t>Mar 21</t>
  </si>
  <si>
    <t>Mar 22</t>
  </si>
  <si>
    <t>Mar 23</t>
  </si>
  <si>
    <t>Mar 24</t>
  </si>
  <si>
    <t>Mar 25</t>
  </si>
  <si>
    <t>Mar 26</t>
  </si>
  <si>
    <t>Mar 27</t>
  </si>
  <si>
    <t>Mar 28</t>
  </si>
  <si>
    <t>Mar 29</t>
  </si>
  <si>
    <t>Mar 30</t>
  </si>
  <si>
    <t>Mar 31</t>
  </si>
  <si>
    <t>⏰ DAILY ROUTINE - Q1 2026</t>
  </si>
  <si>
    <t>WEEKDAYS</t>
  </si>
  <si>
    <t>WEEKENDS</t>
  </si>
  <si>
    <t>Sunday - Thursday</t>
  </si>
  <si>
    <t>Friday - Saturday</t>
  </si>
  <si>
    <t>6:00 AM</t>
  </si>
  <si>
    <t>🌅 Wake Up &amp; Hydrate</t>
  </si>
  <si>
    <t>8:00 AM</t>
  </si>
  <si>
    <t>6:00 - 6:15 AM</t>
  </si>
  <si>
    <t>🧘 Meditation (15 min)</t>
  </si>
  <si>
    <t>8:00 - 9:30 AM</t>
  </si>
  <si>
    <t>🧘 Meditation &amp; Stretching (90 min)</t>
  </si>
  <si>
    <t>6:15 - 7:00 AM</t>
  </si>
  <si>
    <t>🧘‍♂️ Yoga (45 min)</t>
  </si>
  <si>
    <t>• Longer, deeper practice</t>
  </si>
  <si>
    <t>7:00 - 7:30 AM</t>
  </si>
  <si>
    <t>🚿 Freshen Up &amp; Breakfast</t>
  </si>
  <si>
    <t>9:30 - 10:30 AM</t>
  </si>
  <si>
    <t>🚿 Freshen Up &amp; Pooja</t>
  </si>
  <si>
    <t>8:00 - 10:00 AM</t>
  </si>
  <si>
    <t>🚀 AGENTIC AI LEARNING (2 hrs)</t>
  </si>
  <si>
    <t>• Spiritual practice/gratitude</t>
  </si>
  <si>
    <t>• Build daily task from learning plan</t>
  </si>
  <si>
    <t>• Ship working code</t>
  </si>
  <si>
    <t>10:30 - 11:00 AM</t>
  </si>
  <si>
    <t>🍳 Breakfast</t>
  </si>
  <si>
    <t>10:30 AM - 2:00 PM</t>
  </si>
  <si>
    <t>💼 WORK (3.5 hrs)</t>
  </si>
  <si>
    <t>11:30 AM - 1:30 PM</t>
  </si>
  <si>
    <t>• Professional work/projects</t>
  </si>
  <si>
    <t>• Weekend project building</t>
  </si>
  <si>
    <t>• Experiment &amp; explore</t>
  </si>
  <si>
    <t>2:00 - 4:00 PM</t>
  </si>
  <si>
    <t>🍽️ Lunch &amp; Rest Break</t>
  </si>
  <si>
    <t>• Eat mindfully, power nap if needed</t>
  </si>
  <si>
    <t>1:30 - 5:00 PM</t>
  </si>
  <si>
    <t>😌 Afternoon Relax &amp; Free Time</t>
  </si>
  <si>
    <t>• Social time, hobbies, rest</t>
  </si>
  <si>
    <t>4:15 - 6:15 PM</t>
  </si>
  <si>
    <t>💻 PYTHON PROGRAMMING (2 hrs)</t>
  </si>
  <si>
    <t>• Netflix, gaming, friends</t>
  </si>
  <si>
    <t>• Practice coding, solve problems</t>
  </si>
  <si>
    <t>• LeetCode/side project work</t>
  </si>
  <si>
    <t>5:00 - 6:30 PM</t>
  </si>
  <si>
    <t>📚 READING (90 min)</t>
  </si>
  <si>
    <t>• Catch up on weekly reading goal</t>
  </si>
  <si>
    <t>6:15 - 7:00 PM</t>
  </si>
  <si>
    <t>📚 READING (45 min)</t>
  </si>
  <si>
    <t>• 10+ pages minimum</t>
  </si>
  <si>
    <t>6:30 - 9:00 PM</t>
  </si>
  <si>
    <t>🎉 Go Out &amp; Chill</t>
  </si>
  <si>
    <t>• Social activities, restaurants</t>
  </si>
  <si>
    <t>7:00 - 8:00 PM</t>
  </si>
  <si>
    <t>😌 Relax &amp; Unwind</t>
  </si>
  <si>
    <t>• Entertainment, fun</t>
  </si>
  <si>
    <t>8:00 - 8:30 PM</t>
  </si>
  <si>
    <t>🍽️ Dinner</t>
  </si>
  <si>
    <t>9:00 - 9:30 PM</t>
  </si>
  <si>
    <t>🍽️ Dinner (if not out)</t>
  </si>
  <si>
    <t>8:30 - 9:00 PM</t>
  </si>
  <si>
    <t>🚶‍♂️ Evening Walk</t>
  </si>
  <si>
    <t>9:30 - 10:00 PM</t>
  </si>
  <si>
    <t>📔 Journaling</t>
  </si>
  <si>
    <t>• 15-20 min outdoor walk</t>
  </si>
  <si>
    <t>• Weekly reflection</t>
  </si>
  <si>
    <t>• Review progress</t>
  </si>
  <si>
    <t>📔 Journaling &amp; Reflection</t>
  </si>
  <si>
    <t>• Fill habit tracker</t>
  </si>
  <si>
    <t>10:30 PM</t>
  </si>
  <si>
    <t>😴 Sleep</t>
  </si>
  <si>
    <t>• Write daily wins</t>
  </si>
  <si>
    <t>• Plan tomorrow</t>
  </si>
  <si>
    <t>📊 WEEKLY TIME BREAKDOWN</t>
  </si>
  <si>
    <t>🚀 Agentic AI Learning:</t>
  </si>
  <si>
    <t>12 hours/week (2hrs × 6 days)</t>
  </si>
  <si>
    <t>Primary Goal</t>
  </si>
  <si>
    <t>💻 Python Programming:</t>
  </si>
  <si>
    <t>10 hours/week (2hrs × 5 days)</t>
  </si>
  <si>
    <t>Skill Building</t>
  </si>
  <si>
    <t>💼 Work:</t>
  </si>
  <si>
    <t>17.5 hours/week (3.5hrs × 5 days)</t>
  </si>
  <si>
    <t>Career</t>
  </si>
  <si>
    <t>📚 Reading:</t>
  </si>
  <si>
    <t>7+ hours/week</t>
  </si>
  <si>
    <t>Knowledge</t>
  </si>
  <si>
    <t>🧘 Meditation/Yoga:</t>
  </si>
  <si>
    <t>8+ hours/week</t>
  </si>
  <si>
    <t>Wellness</t>
  </si>
  <si>
    <t>⚡ Total Productive Hours:</t>
  </si>
  <si>
    <t>~50 hours/week</t>
  </si>
  <si>
    <t>Sustainable Pace</t>
  </si>
  <si>
    <t>🎨 COLOR KEY</t>
  </si>
  <si>
    <t>Morning Routine</t>
  </si>
  <si>
    <t>Deep Focus Work</t>
  </si>
  <si>
    <t>Breaks &amp; Meals</t>
  </si>
  <si>
    <t>Evening Activities</t>
  </si>
  <si>
    <t>Sleep</t>
  </si>
  <si>
    <t>Metric</t>
  </si>
  <si>
    <t>January</t>
  </si>
  <si>
    <t>February</t>
  </si>
  <si>
    <t>March</t>
  </si>
  <si>
    <t>Q1 Total</t>
  </si>
  <si>
    <t>Agentic AI Learning (hrs)</t>
  </si>
  <si>
    <t>Work Hours</t>
  </si>
  <si>
    <t>Side Hustle Time (hrs)</t>
  </si>
  <si>
    <t>Pages Read</t>
  </si>
  <si>
    <t>Gym Sessions</t>
  </si>
  <si>
    <t>Avg Sleep (hrs)</t>
  </si>
  <si>
    <t>Avg Water (L)</t>
  </si>
  <si>
    <t>Meditation (min)</t>
  </si>
  <si>
    <t>Days Completed</t>
  </si>
  <si>
    <t>Avg Daily Score</t>
  </si>
  <si>
    <t>Best Streak (days)</t>
  </si>
  <si>
    <t>Week</t>
  </si>
  <si>
    <t>Total Hrs</t>
  </si>
  <si>
    <t>Avg Score</t>
  </si>
  <si>
    <t>Wins</t>
  </si>
  <si>
    <t>Notes</t>
  </si>
  <si>
    <t>Week 1 (Jan 1-5)</t>
  </si>
  <si>
    <t>Week 2 (Jan 6-12)</t>
  </si>
  <si>
    <t>Week 3 (Jan 13-19)</t>
  </si>
  <si>
    <t>Week 4 (Jan 20-26)</t>
  </si>
  <si>
    <t>Week 5 (Jan 27-Feb 2)</t>
  </si>
  <si>
    <t>Week 6 (Feb 3-9)</t>
  </si>
  <si>
    <t>Week 7 (Feb 10-16)</t>
  </si>
  <si>
    <t>Week 8 (Feb 17-23)</t>
  </si>
  <si>
    <t>Week 9 (Feb 24-Mar 2)</t>
  </si>
  <si>
    <t>Week 10 (Mar 3-9)</t>
  </si>
  <si>
    <t>Week 11 (Mar 10-16)</t>
  </si>
  <si>
    <t>Week 12 (Mar 17-23)</t>
  </si>
  <si>
    <t>Week 13 (Mar 24-30)</t>
  </si>
  <si>
    <t>Category</t>
  </si>
  <si>
    <t>Goal</t>
  </si>
  <si>
    <t>Target</t>
  </si>
  <si>
    <t>Status</t>
  </si>
  <si>
    <t>🚀 AGENTIC AI LEARNING</t>
  </si>
  <si>
    <t>Month 1 Milestone</t>
  </si>
  <si>
    <t>Complete Document Q&amp;A Agent + GitHub portfolio</t>
  </si>
  <si>
    <t>☐</t>
  </si>
  <si>
    <t>Month 2 Milestone</t>
  </si>
  <si>
    <t>Build 3 tool-using agents (weather, email, web)</t>
  </si>
  <si>
    <t>Month 3 Milestone</t>
  </si>
  <si>
    <t>Deploy production-ready multi-agent system</t>
  </si>
  <si>
    <t>Q1 Learning</t>
  </si>
  <si>
    <t>Complete 180 hours of learning (2hrs/day)</t>
  </si>
  <si>
    <t>180 hrs</t>
  </si>
  <si>
    <t>💼 SIDE HUSTLE</t>
  </si>
  <si>
    <t>Revenue Goal</t>
  </si>
  <si>
    <t>First paying customer or product launch</t>
  </si>
  <si>
    <t>$1</t>
  </si>
  <si>
    <t>Portfolio</t>
  </si>
  <si>
    <t>Minimum 5 projects on GitHub</t>
  </si>
  <si>
    <t>5 projects</t>
  </si>
  <si>
    <t>Network</t>
  </si>
  <si>
    <t>Connect with 50 people in AI community</t>
  </si>
  <si>
    <t>50 people</t>
  </si>
  <si>
    <t>Content</t>
  </si>
  <si>
    <t>Post 30 times on LinkedIn about your journey</t>
  </si>
  <si>
    <t>30 posts</t>
  </si>
  <si>
    <t>📚 READING</t>
  </si>
  <si>
    <t>Q1 Reading</t>
  </si>
  <si>
    <t>Read 900 pages (10 pages/day)</t>
  </si>
  <si>
    <t>900 pages</t>
  </si>
  <si>
    <t>Books to Complete</t>
  </si>
  <si>
    <t>Finish 3-4 books on AI/business/self-dev</t>
  </si>
  <si>
    <t>4 books</t>
  </si>
  <si>
    <t>💰 FINANCIAL GOALS</t>
  </si>
  <si>
    <t>Emergency Fund</t>
  </si>
  <si>
    <t>Side Hustle Revenue</t>
  </si>
  <si>
    <t>Generate first $1,000 from side hustle</t>
  </si>
  <si>
    <t>$1,000</t>
  </si>
  <si>
    <t>Savings Rate</t>
  </si>
  <si>
    <t>Save 20% of income each month</t>
  </si>
  <si>
    <t>20%</t>
  </si>
  <si>
    <t>Investments</t>
  </si>
  <si>
    <t>Invest $XXX in learning/tools/growth</t>
  </si>
  <si>
    <t>$XXX</t>
  </si>
  <si>
    <t>💪 FITNESS</t>
  </si>
  <si>
    <t>Gym Consistency</t>
  </si>
  <si>
    <t>Workout 60 times in Q1 (5x/week)</t>
  </si>
  <si>
    <t>60 sessions</t>
  </si>
  <si>
    <t>Weight Goal</t>
  </si>
  <si>
    <t>Lose/Gain [YOUR TARGET] kg</t>
  </si>
  <si>
    <t>X kg</t>
  </si>
  <si>
    <t>🧘 WELLNESS</t>
  </si>
  <si>
    <t>Average 7+ hours of sleep</t>
  </si>
  <si>
    <t>7 hrs</t>
  </si>
  <si>
    <t>Hydration</t>
  </si>
  <si>
    <t>Drink 2L+ water daily</t>
  </si>
  <si>
    <t>2L/day</t>
  </si>
  <si>
    <t>Meditation</t>
  </si>
  <si>
    <t>Meditate 900 minutes in Q1</t>
  </si>
  <si>
    <t>900 min</t>
  </si>
  <si>
    <t>🎯 OVERALL</t>
  </si>
  <si>
    <t>Daily Score</t>
  </si>
  <si>
    <t>Maintain 80+ average score</t>
  </si>
  <si>
    <t>80+</t>
  </si>
  <si>
    <t>Consistency</t>
  </si>
  <si>
    <t>Complete 80+ days (89% success rate)</t>
  </si>
  <si>
    <t>80 days</t>
  </si>
  <si>
    <t>📊 Q1 2026 HABIT TRACKER - USER GUIDE</t>
  </si>
  <si>
    <t>🎯 DAILY TRACKING (Main Sheet)</t>
  </si>
  <si>
    <t>Fill in your daily activities each evening or next morning:</t>
  </si>
  <si>
    <t>• Agentic AI: Hours spent learning/building (target: 2+ hrs)</t>
  </si>
  <si>
    <t>• Work: Professional work hours (track to avoid burnout)</t>
  </si>
  <si>
    <t>• Side Hustle: Time on your side project/business (target: 1+ hr)</t>
  </si>
  <si>
    <t>• Reading: Pages read (target: 10+ pages/day)</t>
  </si>
  <si>
    <t>• Gym: Type "✓" or minutes worked out (target: 5x/week)</t>
  </si>
  <si>
    <t>• Sleep: Hours of sleep (target: 7+ hrs)</t>
  </si>
  <si>
    <t>• Water: Liters consumed (target: 2+ L)</t>
  </si>
  <si>
    <t>• Meditation: Minutes meditated (target: 10+ min)</t>
  </si>
  <si>
    <t>• Notes/Wins: Daily highlight, achievement, or reflection</t>
  </si>
  <si>
    <t>📈 SCORING SYSTEM</t>
  </si>
  <si>
    <t>Your daily score is calculated automatically (max 100 points):</t>
  </si>
  <si>
    <t>• Agentic AI 2+ hrs: 15 points</t>
  </si>
  <si>
    <t>• Work 6+ hrs: 10 points</t>
  </si>
  <si>
    <t>• Side Hustle 1+ hr: 15 points</t>
  </si>
  <si>
    <t>• Reading 10+ pages: 10 points</t>
  </si>
  <si>
    <t>• Gym completed: 15 points</t>
  </si>
  <si>
    <t>• Sleep 7+ hrs: 10 points</t>
  </si>
  <si>
    <t>• Water 2+ L: 10 points</t>
  </si>
  <si>
    <t>• Meditation 10+ min: 15 points</t>
  </si>
  <si>
    <t>Target: 80+ points/day = Excellent day! 🎉</t>
  </si>
  <si>
    <t>💡 PRO TIPS</t>
  </si>
  <si>
    <t>1. Fill it out DAILY - don't let it pile up</t>
  </si>
  <si>
    <t>2. Be honest with yourself - no one else sees this</t>
  </si>
  <si>
    <t>3. Focus on consistency over perfection</t>
  </si>
  <si>
    <t>4. Review your "Monthly Summary" tab every week</t>
  </si>
  <si>
    <t>5. Adjust targets if too easy/hard after 2 weeks</t>
  </si>
  <si>
    <t>6. Use "Notes/Wins" to track learnings and celebrate small wins</t>
  </si>
  <si>
    <t>7. Weekend days are highlighted - adjust expectations</t>
  </si>
  <si>
    <t>🎖️ MILESTONES TO CELEBRATE</t>
  </si>
  <si>
    <t>✓ 7-day streak: You're building the habit!</t>
  </si>
  <si>
    <t>✓ 30-day streak: This is your new lifestyle</t>
  </si>
  <si>
    <t>✓ 80+ avg score for a month: You're crushing it!</t>
  </si>
  <si>
    <t>✓ Complete all Q1 goals: Champion mindset 🏆</t>
  </si>
  <si>
    <t>Remember: Progress &gt; Perfection. Keep going! 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</si>
</sst>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4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i/>
      <sz val="9"/>
      <name val="Calibri"/>
      <family val="2"/>
    </font>
    <font>
      <b/>
      <sz val="9"/>
      <color rgb="FF1F4E78"/>
      <name val="Calibri"/>
      <family val="2"/>
    </font>
    <font>
      <b/>
      <sz val="10"/>
      <name val="Calibri"/>
      <family val="2"/>
    </font>
    <font>
      <i/>
      <sz val="9"/>
      <color rgb="FF666666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2C5C91"/>
        <bgColor rgb="FF2C5C9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B4C7E7"/>
        <bgColor rgb="FFB4C7E7"/>
      </patternFill>
    </fill>
    <fill>
      <patternFill patternType="solid">
        <fgColor rgb="FF8EA9DB"/>
        <bgColor rgb="FF8EA9DB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/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4" fillId="0" borderId="1" xfId="0" applyFont="1" applyBorder="1"/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1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2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2" fillId="9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/>
    <xf numFmtId="0" fontId="10" fillId="0" borderId="0" xfId="0" applyFont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12" borderId="1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8" customWidth="1"/>
    <col min="3" max="10" width="12" customWidth="1"/>
    <col min="11" max="11" width="20" customWidth="1"/>
    <col min="12" max="12" width="10" customWidth="1"/>
  </cols>
  <sheetData>
    <row r="1" spans="1:1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35" t="s">
        <v>12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6" x14ac:dyDescent="0.2">
      <c r="A3" s="2" t="s">
        <v>13</v>
      </c>
      <c r="B3" s="2" t="s">
        <v>14</v>
      </c>
      <c r="C3" s="2"/>
      <c r="D3" s="2"/>
      <c r="E3" s="2"/>
      <c r="F3" s="2"/>
      <c r="G3" s="2"/>
      <c r="H3" s="2"/>
      <c r="I3" s="2"/>
      <c r="J3" s="2"/>
      <c r="K3" s="3"/>
      <c r="L3" s="4" t="str">
        <f t="shared" ref="L3:L33" si="0">IF(COUNTA(C3:J3)=0,"",ROUND((C3&gt;=2)*15+(D3&gt;=6)*10+(E3&gt;=1)*15+(F3&gt;=10)*10+(LEN(G3)&gt;0)*15+(H3&gt;=7)*10+(I3&gt;=2)*10+(J3&gt;=10)*15,0))</f>
        <v/>
      </c>
    </row>
    <row r="4" spans="1:12" ht="16" x14ac:dyDescent="0.2">
      <c r="A4" s="2" t="s">
        <v>15</v>
      </c>
      <c r="B4" s="2" t="s">
        <v>16</v>
      </c>
      <c r="C4" s="2"/>
      <c r="D4" s="2"/>
      <c r="E4" s="2"/>
      <c r="F4" s="2"/>
      <c r="G4" s="2"/>
      <c r="H4" s="2"/>
      <c r="I4" s="2"/>
      <c r="J4" s="2"/>
      <c r="K4" s="3"/>
      <c r="L4" s="4" t="str">
        <f t="shared" si="0"/>
        <v/>
      </c>
    </row>
    <row r="5" spans="1:12" ht="16" x14ac:dyDescent="0.2">
      <c r="A5" s="5" t="s">
        <v>17</v>
      </c>
      <c r="B5" s="5" t="s">
        <v>18</v>
      </c>
      <c r="C5" s="5"/>
      <c r="D5" s="5"/>
      <c r="E5" s="5"/>
      <c r="F5" s="5"/>
      <c r="G5" s="5"/>
      <c r="H5" s="5"/>
      <c r="I5" s="5"/>
      <c r="J5" s="5"/>
      <c r="K5" s="6"/>
      <c r="L5" s="4" t="str">
        <f t="shared" si="0"/>
        <v/>
      </c>
    </row>
    <row r="6" spans="1:12" ht="16" x14ac:dyDescent="0.2">
      <c r="A6" s="5" t="s">
        <v>19</v>
      </c>
      <c r="B6" s="5" t="s">
        <v>20</v>
      </c>
      <c r="C6" s="5"/>
      <c r="D6" s="5"/>
      <c r="E6" s="5"/>
      <c r="F6" s="5"/>
      <c r="G6" s="5"/>
      <c r="H6" s="5"/>
      <c r="I6" s="5"/>
      <c r="J6" s="5"/>
      <c r="K6" s="6"/>
      <c r="L6" s="4" t="str">
        <f t="shared" si="0"/>
        <v/>
      </c>
    </row>
    <row r="7" spans="1:12" ht="16" x14ac:dyDescent="0.2">
      <c r="A7" s="2" t="s">
        <v>21</v>
      </c>
      <c r="B7" s="2" t="s">
        <v>22</v>
      </c>
      <c r="C7" s="2"/>
      <c r="D7" s="2"/>
      <c r="E7" s="2"/>
      <c r="F7" s="2"/>
      <c r="G7" s="2"/>
      <c r="H7" s="2"/>
      <c r="I7" s="2"/>
      <c r="J7" s="2"/>
      <c r="K7" s="3"/>
      <c r="L7" s="4" t="str">
        <f t="shared" si="0"/>
        <v/>
      </c>
    </row>
    <row r="8" spans="1:12" ht="16" x14ac:dyDescent="0.2">
      <c r="A8" s="2" t="s">
        <v>23</v>
      </c>
      <c r="B8" s="2" t="s">
        <v>24</v>
      </c>
      <c r="C8" s="2"/>
      <c r="D8" s="2"/>
      <c r="E8" s="2"/>
      <c r="F8" s="2"/>
      <c r="G8" s="2"/>
      <c r="H8" s="2"/>
      <c r="I8" s="2"/>
      <c r="J8" s="2"/>
      <c r="K8" s="3"/>
      <c r="L8" s="4" t="str">
        <f t="shared" si="0"/>
        <v/>
      </c>
    </row>
    <row r="9" spans="1:12" ht="16" x14ac:dyDescent="0.2">
      <c r="A9" s="2" t="s">
        <v>25</v>
      </c>
      <c r="B9" s="2" t="s">
        <v>26</v>
      </c>
      <c r="C9" s="2"/>
      <c r="D9" s="2"/>
      <c r="E9" s="2"/>
      <c r="F9" s="2"/>
      <c r="G9" s="2"/>
      <c r="H9" s="2"/>
      <c r="I9" s="2"/>
      <c r="J9" s="2"/>
      <c r="K9" s="3"/>
      <c r="L9" s="4" t="str">
        <f t="shared" si="0"/>
        <v/>
      </c>
    </row>
    <row r="10" spans="1:12" ht="16" x14ac:dyDescent="0.2">
      <c r="A10" s="2" t="s">
        <v>27</v>
      </c>
      <c r="B10" s="2" t="s">
        <v>14</v>
      </c>
      <c r="C10" s="2"/>
      <c r="D10" s="2"/>
      <c r="E10" s="2"/>
      <c r="F10" s="2"/>
      <c r="G10" s="2"/>
      <c r="H10" s="2"/>
      <c r="I10" s="2"/>
      <c r="J10" s="2"/>
      <c r="K10" s="3"/>
      <c r="L10" s="4" t="str">
        <f t="shared" si="0"/>
        <v/>
      </c>
    </row>
    <row r="11" spans="1:12" ht="16" x14ac:dyDescent="0.2">
      <c r="A11" s="2" t="s">
        <v>28</v>
      </c>
      <c r="B11" s="2" t="s">
        <v>16</v>
      </c>
      <c r="C11" s="2"/>
      <c r="D11" s="2"/>
      <c r="E11" s="2"/>
      <c r="F11" s="2"/>
      <c r="G11" s="2"/>
      <c r="H11" s="2"/>
      <c r="I11" s="2"/>
      <c r="J11" s="2"/>
      <c r="K11" s="3"/>
      <c r="L11" s="4" t="str">
        <f t="shared" si="0"/>
        <v/>
      </c>
    </row>
    <row r="12" spans="1:12" ht="16" x14ac:dyDescent="0.2">
      <c r="A12" s="5" t="s">
        <v>29</v>
      </c>
      <c r="B12" s="5" t="s">
        <v>18</v>
      </c>
      <c r="C12" s="5"/>
      <c r="D12" s="5"/>
      <c r="E12" s="5"/>
      <c r="F12" s="5"/>
      <c r="G12" s="5"/>
      <c r="H12" s="5"/>
      <c r="I12" s="5"/>
      <c r="J12" s="5"/>
      <c r="K12" s="6"/>
      <c r="L12" s="4" t="str">
        <f t="shared" si="0"/>
        <v/>
      </c>
    </row>
    <row r="13" spans="1:12" ht="16" x14ac:dyDescent="0.2">
      <c r="A13" s="5" t="s">
        <v>30</v>
      </c>
      <c r="B13" s="5" t="s">
        <v>20</v>
      </c>
      <c r="C13" s="5"/>
      <c r="D13" s="5"/>
      <c r="E13" s="5"/>
      <c r="F13" s="5"/>
      <c r="G13" s="5"/>
      <c r="H13" s="5"/>
      <c r="I13" s="5"/>
      <c r="J13" s="5"/>
      <c r="K13" s="6"/>
      <c r="L13" s="4" t="str">
        <f t="shared" si="0"/>
        <v/>
      </c>
    </row>
    <row r="14" spans="1:12" ht="16" x14ac:dyDescent="0.2">
      <c r="A14" s="2" t="s">
        <v>31</v>
      </c>
      <c r="B14" s="2" t="s">
        <v>22</v>
      </c>
      <c r="C14" s="2"/>
      <c r="D14" s="2"/>
      <c r="E14" s="2"/>
      <c r="F14" s="2"/>
      <c r="G14" s="2"/>
      <c r="H14" s="2"/>
      <c r="I14" s="2"/>
      <c r="J14" s="2"/>
      <c r="K14" s="3"/>
      <c r="L14" s="4" t="str">
        <f t="shared" si="0"/>
        <v/>
      </c>
    </row>
    <row r="15" spans="1:12" ht="16" x14ac:dyDescent="0.2">
      <c r="A15" s="2" t="s">
        <v>32</v>
      </c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3"/>
      <c r="L15" s="4" t="str">
        <f t="shared" si="0"/>
        <v/>
      </c>
    </row>
    <row r="16" spans="1:12" ht="16" x14ac:dyDescent="0.2">
      <c r="A16" s="2" t="s">
        <v>33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3"/>
      <c r="L16" s="4" t="str">
        <f t="shared" si="0"/>
        <v/>
      </c>
    </row>
    <row r="17" spans="1:12" ht="16" x14ac:dyDescent="0.2">
      <c r="A17" s="2" t="s">
        <v>34</v>
      </c>
      <c r="B17" s="2" t="s">
        <v>14</v>
      </c>
      <c r="C17" s="2"/>
      <c r="D17" s="2"/>
      <c r="E17" s="2"/>
      <c r="F17" s="2"/>
      <c r="G17" s="2"/>
      <c r="H17" s="2"/>
      <c r="I17" s="2"/>
      <c r="J17" s="2"/>
      <c r="K17" s="3"/>
      <c r="L17" s="4" t="str">
        <f t="shared" si="0"/>
        <v/>
      </c>
    </row>
    <row r="18" spans="1:12" ht="16" x14ac:dyDescent="0.2">
      <c r="A18" s="2" t="s">
        <v>35</v>
      </c>
      <c r="B18" s="2" t="s">
        <v>16</v>
      </c>
      <c r="C18" s="2"/>
      <c r="D18" s="2"/>
      <c r="E18" s="2"/>
      <c r="F18" s="2"/>
      <c r="G18" s="2"/>
      <c r="H18" s="2"/>
      <c r="I18" s="2"/>
      <c r="J18" s="2"/>
      <c r="K18" s="3"/>
      <c r="L18" s="4" t="str">
        <f t="shared" si="0"/>
        <v/>
      </c>
    </row>
    <row r="19" spans="1:12" ht="16" x14ac:dyDescent="0.2">
      <c r="A19" s="5" t="s">
        <v>36</v>
      </c>
      <c r="B19" s="5" t="s">
        <v>18</v>
      </c>
      <c r="C19" s="5"/>
      <c r="D19" s="5"/>
      <c r="E19" s="5"/>
      <c r="F19" s="5"/>
      <c r="G19" s="5"/>
      <c r="H19" s="5"/>
      <c r="I19" s="5"/>
      <c r="J19" s="5"/>
      <c r="K19" s="6"/>
      <c r="L19" s="4" t="str">
        <f t="shared" si="0"/>
        <v/>
      </c>
    </row>
    <row r="20" spans="1:12" ht="16" x14ac:dyDescent="0.2">
      <c r="A20" s="5" t="s">
        <v>37</v>
      </c>
      <c r="B20" s="5" t="s">
        <v>20</v>
      </c>
      <c r="C20" s="5"/>
      <c r="D20" s="5"/>
      <c r="E20" s="5"/>
      <c r="F20" s="5"/>
      <c r="G20" s="5"/>
      <c r="H20" s="5"/>
      <c r="I20" s="5"/>
      <c r="J20" s="5"/>
      <c r="K20" s="6"/>
      <c r="L20" s="4" t="str">
        <f t="shared" si="0"/>
        <v/>
      </c>
    </row>
    <row r="21" spans="1:12" ht="16" x14ac:dyDescent="0.2">
      <c r="A21" s="2" t="s">
        <v>38</v>
      </c>
      <c r="B21" s="2" t="s">
        <v>22</v>
      </c>
      <c r="C21" s="2"/>
      <c r="D21" s="2"/>
      <c r="E21" s="2"/>
      <c r="F21" s="2"/>
      <c r="G21" s="2"/>
      <c r="H21" s="2"/>
      <c r="I21" s="2"/>
      <c r="J21" s="2"/>
      <c r="K21" s="3"/>
      <c r="L21" s="4" t="str">
        <f t="shared" si="0"/>
        <v/>
      </c>
    </row>
    <row r="22" spans="1:12" ht="16" x14ac:dyDescent="0.2">
      <c r="A22" s="2" t="s">
        <v>39</v>
      </c>
      <c r="B22" s="2" t="s">
        <v>24</v>
      </c>
      <c r="C22" s="2"/>
      <c r="D22" s="2"/>
      <c r="E22" s="2"/>
      <c r="F22" s="2"/>
      <c r="G22" s="2"/>
      <c r="H22" s="2"/>
      <c r="I22" s="2"/>
      <c r="J22" s="2"/>
      <c r="K22" s="3"/>
      <c r="L22" s="4" t="str">
        <f t="shared" si="0"/>
        <v/>
      </c>
    </row>
    <row r="23" spans="1:12" ht="16" x14ac:dyDescent="0.2">
      <c r="A23" s="2" t="s">
        <v>40</v>
      </c>
      <c r="B23" s="2" t="s">
        <v>26</v>
      </c>
      <c r="C23" s="2"/>
      <c r="D23" s="2"/>
      <c r="E23" s="2"/>
      <c r="F23" s="2"/>
      <c r="G23" s="2"/>
      <c r="H23" s="2"/>
      <c r="I23" s="2"/>
      <c r="J23" s="2"/>
      <c r="K23" s="3"/>
      <c r="L23" s="4" t="str">
        <f t="shared" si="0"/>
        <v/>
      </c>
    </row>
    <row r="24" spans="1:12" ht="16" x14ac:dyDescent="0.2">
      <c r="A24" s="2" t="s">
        <v>41</v>
      </c>
      <c r="B24" s="2" t="s">
        <v>14</v>
      </c>
      <c r="C24" s="2"/>
      <c r="D24" s="2"/>
      <c r="E24" s="2"/>
      <c r="F24" s="2"/>
      <c r="G24" s="2"/>
      <c r="H24" s="2"/>
      <c r="I24" s="2"/>
      <c r="J24" s="2"/>
      <c r="K24" s="3"/>
      <c r="L24" s="4" t="str">
        <f t="shared" si="0"/>
        <v/>
      </c>
    </row>
    <row r="25" spans="1:12" ht="16" x14ac:dyDescent="0.2">
      <c r="A25" s="2" t="s">
        <v>42</v>
      </c>
      <c r="B25" s="2" t="s">
        <v>16</v>
      </c>
      <c r="C25" s="2"/>
      <c r="D25" s="2"/>
      <c r="E25" s="2"/>
      <c r="F25" s="2"/>
      <c r="G25" s="2"/>
      <c r="H25" s="2"/>
      <c r="I25" s="2"/>
      <c r="J25" s="2"/>
      <c r="K25" s="3"/>
      <c r="L25" s="4" t="str">
        <f t="shared" si="0"/>
        <v/>
      </c>
    </row>
    <row r="26" spans="1:12" ht="16" x14ac:dyDescent="0.2">
      <c r="A26" s="5" t="s">
        <v>43</v>
      </c>
      <c r="B26" s="5" t="s">
        <v>18</v>
      </c>
      <c r="C26" s="5"/>
      <c r="D26" s="5"/>
      <c r="E26" s="5"/>
      <c r="F26" s="5"/>
      <c r="G26" s="5"/>
      <c r="H26" s="5"/>
      <c r="I26" s="5"/>
      <c r="J26" s="5"/>
      <c r="K26" s="6"/>
      <c r="L26" s="4" t="str">
        <f t="shared" si="0"/>
        <v/>
      </c>
    </row>
    <row r="27" spans="1:12" ht="16" x14ac:dyDescent="0.2">
      <c r="A27" s="5" t="s">
        <v>44</v>
      </c>
      <c r="B27" s="5" t="s">
        <v>20</v>
      </c>
      <c r="C27" s="5"/>
      <c r="D27" s="5"/>
      <c r="E27" s="5"/>
      <c r="F27" s="5"/>
      <c r="G27" s="5"/>
      <c r="H27" s="5"/>
      <c r="I27" s="5"/>
      <c r="J27" s="5"/>
      <c r="K27" s="6"/>
      <c r="L27" s="4" t="str">
        <f t="shared" si="0"/>
        <v/>
      </c>
    </row>
    <row r="28" spans="1:12" ht="16" x14ac:dyDescent="0.2">
      <c r="A28" s="2" t="s">
        <v>45</v>
      </c>
      <c r="B28" s="2" t="s">
        <v>22</v>
      </c>
      <c r="C28" s="2"/>
      <c r="D28" s="2"/>
      <c r="E28" s="2"/>
      <c r="F28" s="2"/>
      <c r="G28" s="2"/>
      <c r="H28" s="2"/>
      <c r="I28" s="2"/>
      <c r="J28" s="2"/>
      <c r="K28" s="3"/>
      <c r="L28" s="4" t="str">
        <f t="shared" si="0"/>
        <v/>
      </c>
    </row>
    <row r="29" spans="1:12" ht="16" x14ac:dyDescent="0.2">
      <c r="A29" s="2" t="s">
        <v>46</v>
      </c>
      <c r="B29" s="2" t="s">
        <v>24</v>
      </c>
      <c r="C29" s="2"/>
      <c r="D29" s="2"/>
      <c r="E29" s="2"/>
      <c r="F29" s="2"/>
      <c r="G29" s="2"/>
      <c r="H29" s="2"/>
      <c r="I29" s="2"/>
      <c r="J29" s="2"/>
      <c r="K29" s="3"/>
      <c r="L29" s="4" t="str">
        <f t="shared" si="0"/>
        <v/>
      </c>
    </row>
    <row r="30" spans="1:12" ht="16" x14ac:dyDescent="0.2">
      <c r="A30" s="2" t="s">
        <v>47</v>
      </c>
      <c r="B30" s="2" t="s">
        <v>26</v>
      </c>
      <c r="C30" s="2"/>
      <c r="D30" s="2"/>
      <c r="E30" s="2"/>
      <c r="F30" s="2"/>
      <c r="G30" s="2"/>
      <c r="H30" s="2"/>
      <c r="I30" s="2"/>
      <c r="J30" s="2"/>
      <c r="K30" s="3"/>
      <c r="L30" s="4" t="str">
        <f t="shared" si="0"/>
        <v/>
      </c>
    </row>
    <row r="31" spans="1:12" ht="16" x14ac:dyDescent="0.2">
      <c r="A31" s="2" t="s">
        <v>48</v>
      </c>
      <c r="B31" s="2" t="s">
        <v>14</v>
      </c>
      <c r="C31" s="2"/>
      <c r="D31" s="2"/>
      <c r="E31" s="2"/>
      <c r="F31" s="2"/>
      <c r="G31" s="2"/>
      <c r="H31" s="2"/>
      <c r="I31" s="2"/>
      <c r="J31" s="2"/>
      <c r="K31" s="3"/>
      <c r="L31" s="4" t="str">
        <f t="shared" si="0"/>
        <v/>
      </c>
    </row>
    <row r="32" spans="1:12" ht="16" x14ac:dyDescent="0.2">
      <c r="A32" s="2" t="s">
        <v>49</v>
      </c>
      <c r="B32" s="2" t="s">
        <v>16</v>
      </c>
      <c r="C32" s="2"/>
      <c r="D32" s="2"/>
      <c r="E32" s="2"/>
      <c r="F32" s="2"/>
      <c r="G32" s="2"/>
      <c r="H32" s="2"/>
      <c r="I32" s="2"/>
      <c r="J32" s="2"/>
      <c r="K32" s="3"/>
      <c r="L32" s="4" t="str">
        <f t="shared" si="0"/>
        <v/>
      </c>
    </row>
    <row r="33" spans="1:12" ht="16" x14ac:dyDescent="0.2">
      <c r="A33" s="5" t="s">
        <v>50</v>
      </c>
      <c r="B33" s="5" t="s">
        <v>18</v>
      </c>
      <c r="C33" s="5"/>
      <c r="D33" s="5"/>
      <c r="E33" s="5"/>
      <c r="F33" s="5"/>
      <c r="G33" s="5"/>
      <c r="H33" s="5"/>
      <c r="I33" s="5"/>
      <c r="J33" s="5"/>
      <c r="K33" s="6"/>
      <c r="L33" s="4" t="str">
        <f t="shared" si="0"/>
        <v/>
      </c>
    </row>
    <row r="34" spans="1:12" x14ac:dyDescent="0.2">
      <c r="A34" s="35" t="s">
        <v>51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 spans="1:12" ht="16" x14ac:dyDescent="0.2">
      <c r="A35" s="5" t="s">
        <v>52</v>
      </c>
      <c r="B35" s="5" t="s">
        <v>20</v>
      </c>
      <c r="C35" s="5"/>
      <c r="D35" s="5"/>
      <c r="E35" s="5"/>
      <c r="F35" s="5"/>
      <c r="G35" s="5"/>
      <c r="H35" s="5"/>
      <c r="I35" s="5"/>
      <c r="J35" s="5"/>
      <c r="K35" s="6"/>
      <c r="L35" s="4" t="str">
        <f t="shared" ref="L35:L62" si="1">IF(COUNTA(C35:J35)=0,"",ROUND((C35&gt;=2)*15+(D35&gt;=6)*10+(E35&gt;=1)*15+(F35&gt;=10)*10+(LEN(G35)&gt;0)*15+(H35&gt;=7)*10+(I35&gt;=2)*10+(J35&gt;=10)*15,0))</f>
        <v/>
      </c>
    </row>
    <row r="36" spans="1:12" ht="16" x14ac:dyDescent="0.2">
      <c r="A36" s="2" t="s">
        <v>53</v>
      </c>
      <c r="B36" s="2" t="s">
        <v>22</v>
      </c>
      <c r="C36" s="2"/>
      <c r="D36" s="2"/>
      <c r="E36" s="2"/>
      <c r="F36" s="2"/>
      <c r="G36" s="2"/>
      <c r="H36" s="2"/>
      <c r="I36" s="2"/>
      <c r="J36" s="2"/>
      <c r="K36" s="3"/>
      <c r="L36" s="4" t="str">
        <f t="shared" si="1"/>
        <v/>
      </c>
    </row>
    <row r="37" spans="1:12" ht="16" x14ac:dyDescent="0.2">
      <c r="A37" s="2" t="s">
        <v>54</v>
      </c>
      <c r="B37" s="2" t="s">
        <v>24</v>
      </c>
      <c r="C37" s="2"/>
      <c r="D37" s="2"/>
      <c r="E37" s="2"/>
      <c r="F37" s="2"/>
      <c r="G37" s="2"/>
      <c r="H37" s="2"/>
      <c r="I37" s="2"/>
      <c r="J37" s="2"/>
      <c r="K37" s="3"/>
      <c r="L37" s="4" t="str">
        <f t="shared" si="1"/>
        <v/>
      </c>
    </row>
    <row r="38" spans="1:12" ht="16" x14ac:dyDescent="0.2">
      <c r="A38" s="2" t="s">
        <v>55</v>
      </c>
      <c r="B38" s="2" t="s">
        <v>26</v>
      </c>
      <c r="C38" s="2"/>
      <c r="D38" s="2"/>
      <c r="E38" s="2"/>
      <c r="F38" s="2"/>
      <c r="G38" s="2"/>
      <c r="H38" s="2"/>
      <c r="I38" s="2"/>
      <c r="J38" s="2"/>
      <c r="K38" s="3"/>
      <c r="L38" s="4" t="str">
        <f t="shared" si="1"/>
        <v/>
      </c>
    </row>
    <row r="39" spans="1:12" ht="16" x14ac:dyDescent="0.2">
      <c r="A39" s="2" t="s">
        <v>56</v>
      </c>
      <c r="B39" s="2" t="s">
        <v>14</v>
      </c>
      <c r="C39" s="2"/>
      <c r="D39" s="2"/>
      <c r="E39" s="2"/>
      <c r="F39" s="2"/>
      <c r="G39" s="2"/>
      <c r="H39" s="2"/>
      <c r="I39" s="2"/>
      <c r="J39" s="2"/>
      <c r="K39" s="3"/>
      <c r="L39" s="4" t="str">
        <f t="shared" si="1"/>
        <v/>
      </c>
    </row>
    <row r="40" spans="1:12" ht="16" x14ac:dyDescent="0.2">
      <c r="A40" s="2" t="s">
        <v>57</v>
      </c>
      <c r="B40" s="2" t="s">
        <v>16</v>
      </c>
      <c r="C40" s="2"/>
      <c r="D40" s="2"/>
      <c r="E40" s="2"/>
      <c r="F40" s="2"/>
      <c r="G40" s="2"/>
      <c r="H40" s="2"/>
      <c r="I40" s="2"/>
      <c r="J40" s="2"/>
      <c r="K40" s="3"/>
      <c r="L40" s="4" t="str">
        <f t="shared" si="1"/>
        <v/>
      </c>
    </row>
    <row r="41" spans="1:12" ht="16" x14ac:dyDescent="0.2">
      <c r="A41" s="5" t="s">
        <v>58</v>
      </c>
      <c r="B41" s="5" t="s">
        <v>18</v>
      </c>
      <c r="C41" s="5"/>
      <c r="D41" s="5"/>
      <c r="E41" s="5"/>
      <c r="F41" s="5"/>
      <c r="G41" s="5"/>
      <c r="H41" s="5"/>
      <c r="I41" s="5"/>
      <c r="J41" s="5"/>
      <c r="K41" s="6"/>
      <c r="L41" s="4" t="str">
        <f t="shared" si="1"/>
        <v/>
      </c>
    </row>
    <row r="42" spans="1:12" ht="16" x14ac:dyDescent="0.2">
      <c r="A42" s="5" t="s">
        <v>59</v>
      </c>
      <c r="B42" s="5" t="s">
        <v>20</v>
      </c>
      <c r="C42" s="5"/>
      <c r="D42" s="5"/>
      <c r="E42" s="5"/>
      <c r="F42" s="5"/>
      <c r="G42" s="5"/>
      <c r="H42" s="5"/>
      <c r="I42" s="5"/>
      <c r="J42" s="5"/>
      <c r="K42" s="6"/>
      <c r="L42" s="4" t="str">
        <f t="shared" si="1"/>
        <v/>
      </c>
    </row>
    <row r="43" spans="1:12" ht="16" x14ac:dyDescent="0.2">
      <c r="A43" s="2" t="s">
        <v>60</v>
      </c>
      <c r="B43" s="2" t="s">
        <v>22</v>
      </c>
      <c r="C43" s="2"/>
      <c r="D43" s="2"/>
      <c r="E43" s="2"/>
      <c r="F43" s="2"/>
      <c r="G43" s="2"/>
      <c r="H43" s="2"/>
      <c r="I43" s="2"/>
      <c r="J43" s="2"/>
      <c r="K43" s="3"/>
      <c r="L43" s="4" t="str">
        <f t="shared" si="1"/>
        <v/>
      </c>
    </row>
    <row r="44" spans="1:12" ht="16" x14ac:dyDescent="0.2">
      <c r="A44" s="2" t="s">
        <v>61</v>
      </c>
      <c r="B44" s="2" t="s">
        <v>24</v>
      </c>
      <c r="C44" s="2"/>
      <c r="D44" s="2"/>
      <c r="E44" s="2"/>
      <c r="F44" s="2"/>
      <c r="G44" s="2"/>
      <c r="H44" s="2"/>
      <c r="I44" s="2"/>
      <c r="J44" s="2"/>
      <c r="K44" s="3"/>
      <c r="L44" s="4" t="str">
        <f t="shared" si="1"/>
        <v/>
      </c>
    </row>
    <row r="45" spans="1:12" ht="16" x14ac:dyDescent="0.2">
      <c r="A45" s="2" t="s">
        <v>62</v>
      </c>
      <c r="B45" s="2" t="s">
        <v>26</v>
      </c>
      <c r="C45" s="2"/>
      <c r="D45" s="2"/>
      <c r="E45" s="2"/>
      <c r="F45" s="2"/>
      <c r="G45" s="2"/>
      <c r="H45" s="2"/>
      <c r="I45" s="2"/>
      <c r="J45" s="2"/>
      <c r="K45" s="3"/>
      <c r="L45" s="4" t="str">
        <f t="shared" si="1"/>
        <v/>
      </c>
    </row>
    <row r="46" spans="1:12" ht="16" x14ac:dyDescent="0.2">
      <c r="A46" s="2" t="s">
        <v>63</v>
      </c>
      <c r="B46" s="2" t="s">
        <v>14</v>
      </c>
      <c r="C46" s="2"/>
      <c r="D46" s="2"/>
      <c r="E46" s="2"/>
      <c r="F46" s="2"/>
      <c r="G46" s="2"/>
      <c r="H46" s="2"/>
      <c r="I46" s="2"/>
      <c r="J46" s="2"/>
      <c r="K46" s="3"/>
      <c r="L46" s="4" t="str">
        <f t="shared" si="1"/>
        <v/>
      </c>
    </row>
    <row r="47" spans="1:12" ht="16" x14ac:dyDescent="0.2">
      <c r="A47" s="2" t="s">
        <v>64</v>
      </c>
      <c r="B47" s="2" t="s">
        <v>16</v>
      </c>
      <c r="C47" s="2"/>
      <c r="D47" s="2"/>
      <c r="E47" s="2"/>
      <c r="F47" s="2"/>
      <c r="G47" s="2"/>
      <c r="H47" s="2"/>
      <c r="I47" s="2"/>
      <c r="J47" s="2"/>
      <c r="K47" s="3"/>
      <c r="L47" s="4" t="str">
        <f t="shared" si="1"/>
        <v/>
      </c>
    </row>
    <row r="48" spans="1:12" ht="16" x14ac:dyDescent="0.2">
      <c r="A48" s="5" t="s">
        <v>65</v>
      </c>
      <c r="B48" s="5" t="s">
        <v>18</v>
      </c>
      <c r="C48" s="5"/>
      <c r="D48" s="5"/>
      <c r="E48" s="5"/>
      <c r="F48" s="5"/>
      <c r="G48" s="5"/>
      <c r="H48" s="5"/>
      <c r="I48" s="5"/>
      <c r="J48" s="5"/>
      <c r="K48" s="6"/>
      <c r="L48" s="4" t="str">
        <f t="shared" si="1"/>
        <v/>
      </c>
    </row>
    <row r="49" spans="1:12" ht="16" x14ac:dyDescent="0.2">
      <c r="A49" s="5" t="s">
        <v>66</v>
      </c>
      <c r="B49" s="5" t="s">
        <v>20</v>
      </c>
      <c r="C49" s="5"/>
      <c r="D49" s="5"/>
      <c r="E49" s="5"/>
      <c r="F49" s="5"/>
      <c r="G49" s="5"/>
      <c r="H49" s="5"/>
      <c r="I49" s="5"/>
      <c r="J49" s="5"/>
      <c r="K49" s="6"/>
      <c r="L49" s="4" t="str">
        <f t="shared" si="1"/>
        <v/>
      </c>
    </row>
    <row r="50" spans="1:12" ht="16" x14ac:dyDescent="0.2">
      <c r="A50" s="2" t="s">
        <v>67</v>
      </c>
      <c r="B50" s="2" t="s">
        <v>22</v>
      </c>
      <c r="C50" s="2"/>
      <c r="D50" s="2"/>
      <c r="E50" s="2"/>
      <c r="F50" s="2"/>
      <c r="G50" s="2"/>
      <c r="H50" s="2"/>
      <c r="I50" s="2"/>
      <c r="J50" s="2"/>
      <c r="K50" s="3"/>
      <c r="L50" s="4" t="str">
        <f t="shared" si="1"/>
        <v/>
      </c>
    </row>
    <row r="51" spans="1:12" ht="16" x14ac:dyDescent="0.2">
      <c r="A51" s="2" t="s">
        <v>68</v>
      </c>
      <c r="B51" s="2" t="s">
        <v>24</v>
      </c>
      <c r="C51" s="2"/>
      <c r="D51" s="2"/>
      <c r="E51" s="2"/>
      <c r="F51" s="2"/>
      <c r="G51" s="2"/>
      <c r="H51" s="2"/>
      <c r="I51" s="2"/>
      <c r="J51" s="2"/>
      <c r="K51" s="3"/>
      <c r="L51" s="4" t="str">
        <f t="shared" si="1"/>
        <v/>
      </c>
    </row>
    <row r="52" spans="1:12" ht="16" x14ac:dyDescent="0.2">
      <c r="A52" s="2" t="s">
        <v>69</v>
      </c>
      <c r="B52" s="2" t="s">
        <v>26</v>
      </c>
      <c r="C52" s="2"/>
      <c r="D52" s="2"/>
      <c r="E52" s="2"/>
      <c r="F52" s="2"/>
      <c r="G52" s="2"/>
      <c r="H52" s="2"/>
      <c r="I52" s="2"/>
      <c r="J52" s="2"/>
      <c r="K52" s="3"/>
      <c r="L52" s="4" t="str">
        <f t="shared" si="1"/>
        <v/>
      </c>
    </row>
    <row r="53" spans="1:12" ht="16" x14ac:dyDescent="0.2">
      <c r="A53" s="2" t="s">
        <v>70</v>
      </c>
      <c r="B53" s="2" t="s">
        <v>14</v>
      </c>
      <c r="C53" s="2"/>
      <c r="D53" s="2"/>
      <c r="E53" s="2"/>
      <c r="F53" s="2"/>
      <c r="G53" s="2"/>
      <c r="H53" s="2"/>
      <c r="I53" s="2"/>
      <c r="J53" s="2"/>
      <c r="K53" s="3"/>
      <c r="L53" s="4" t="str">
        <f t="shared" si="1"/>
        <v/>
      </c>
    </row>
    <row r="54" spans="1:12" ht="16" x14ac:dyDescent="0.2">
      <c r="A54" s="2" t="s">
        <v>71</v>
      </c>
      <c r="B54" s="2" t="s">
        <v>16</v>
      </c>
      <c r="C54" s="2"/>
      <c r="D54" s="2"/>
      <c r="E54" s="2"/>
      <c r="F54" s="2"/>
      <c r="G54" s="2"/>
      <c r="H54" s="2"/>
      <c r="I54" s="2"/>
      <c r="J54" s="2"/>
      <c r="K54" s="3"/>
      <c r="L54" s="4" t="str">
        <f t="shared" si="1"/>
        <v/>
      </c>
    </row>
    <row r="55" spans="1:12" ht="16" x14ac:dyDescent="0.2">
      <c r="A55" s="5" t="s">
        <v>72</v>
      </c>
      <c r="B55" s="5" t="s">
        <v>18</v>
      </c>
      <c r="C55" s="5"/>
      <c r="D55" s="5"/>
      <c r="E55" s="5"/>
      <c r="F55" s="5"/>
      <c r="G55" s="5"/>
      <c r="H55" s="5"/>
      <c r="I55" s="5"/>
      <c r="J55" s="5"/>
      <c r="K55" s="6"/>
      <c r="L55" s="4" t="str">
        <f t="shared" si="1"/>
        <v/>
      </c>
    </row>
    <row r="56" spans="1:12" ht="16" x14ac:dyDescent="0.2">
      <c r="A56" s="5" t="s">
        <v>73</v>
      </c>
      <c r="B56" s="5" t="s">
        <v>20</v>
      </c>
      <c r="C56" s="5"/>
      <c r="D56" s="5"/>
      <c r="E56" s="5"/>
      <c r="F56" s="5"/>
      <c r="G56" s="5"/>
      <c r="H56" s="5"/>
      <c r="I56" s="5"/>
      <c r="J56" s="5"/>
      <c r="K56" s="6"/>
      <c r="L56" s="4" t="str">
        <f t="shared" si="1"/>
        <v/>
      </c>
    </row>
    <row r="57" spans="1:12" ht="16" x14ac:dyDescent="0.2">
      <c r="A57" s="2" t="s">
        <v>74</v>
      </c>
      <c r="B57" s="2" t="s">
        <v>22</v>
      </c>
      <c r="C57" s="2"/>
      <c r="D57" s="2"/>
      <c r="E57" s="2"/>
      <c r="F57" s="2"/>
      <c r="G57" s="2"/>
      <c r="H57" s="2"/>
      <c r="I57" s="2"/>
      <c r="J57" s="2"/>
      <c r="K57" s="3"/>
      <c r="L57" s="4" t="str">
        <f t="shared" si="1"/>
        <v/>
      </c>
    </row>
    <row r="58" spans="1:12" ht="16" x14ac:dyDescent="0.2">
      <c r="A58" s="2" t="s">
        <v>75</v>
      </c>
      <c r="B58" s="2" t="s">
        <v>24</v>
      </c>
      <c r="C58" s="2"/>
      <c r="D58" s="2"/>
      <c r="E58" s="2"/>
      <c r="F58" s="2"/>
      <c r="G58" s="2"/>
      <c r="H58" s="2"/>
      <c r="I58" s="2"/>
      <c r="J58" s="2"/>
      <c r="K58" s="3"/>
      <c r="L58" s="4" t="str">
        <f t="shared" si="1"/>
        <v/>
      </c>
    </row>
    <row r="59" spans="1:12" ht="16" x14ac:dyDescent="0.2">
      <c r="A59" s="2" t="s">
        <v>76</v>
      </c>
      <c r="B59" s="2" t="s">
        <v>26</v>
      </c>
      <c r="C59" s="2"/>
      <c r="D59" s="2"/>
      <c r="E59" s="2"/>
      <c r="F59" s="2"/>
      <c r="G59" s="2"/>
      <c r="H59" s="2"/>
      <c r="I59" s="2"/>
      <c r="J59" s="2"/>
      <c r="K59" s="3"/>
      <c r="L59" s="4" t="str">
        <f t="shared" si="1"/>
        <v/>
      </c>
    </row>
    <row r="60" spans="1:12" ht="16" x14ac:dyDescent="0.2">
      <c r="A60" s="2" t="s">
        <v>77</v>
      </c>
      <c r="B60" s="2" t="s">
        <v>14</v>
      </c>
      <c r="C60" s="2"/>
      <c r="D60" s="2"/>
      <c r="E60" s="2"/>
      <c r="F60" s="2"/>
      <c r="G60" s="2"/>
      <c r="H60" s="2"/>
      <c r="I60" s="2"/>
      <c r="J60" s="2"/>
      <c r="K60" s="3"/>
      <c r="L60" s="4" t="str">
        <f t="shared" si="1"/>
        <v/>
      </c>
    </row>
    <row r="61" spans="1:12" ht="16" x14ac:dyDescent="0.2">
      <c r="A61" s="2" t="s">
        <v>78</v>
      </c>
      <c r="B61" s="2" t="s">
        <v>16</v>
      </c>
      <c r="C61" s="2"/>
      <c r="D61" s="2"/>
      <c r="E61" s="2"/>
      <c r="F61" s="2"/>
      <c r="G61" s="2"/>
      <c r="H61" s="2"/>
      <c r="I61" s="2"/>
      <c r="J61" s="2"/>
      <c r="K61" s="3"/>
      <c r="L61" s="4" t="str">
        <f t="shared" si="1"/>
        <v/>
      </c>
    </row>
    <row r="62" spans="1:12" ht="16" x14ac:dyDescent="0.2">
      <c r="A62" s="5" t="s">
        <v>79</v>
      </c>
      <c r="B62" s="5" t="s">
        <v>18</v>
      </c>
      <c r="C62" s="5"/>
      <c r="D62" s="5"/>
      <c r="E62" s="5"/>
      <c r="F62" s="5"/>
      <c r="G62" s="5"/>
      <c r="H62" s="5"/>
      <c r="I62" s="5"/>
      <c r="J62" s="5"/>
      <c r="K62" s="6"/>
      <c r="L62" s="4" t="str">
        <f t="shared" si="1"/>
        <v/>
      </c>
    </row>
    <row r="63" spans="1:12" x14ac:dyDescent="0.2">
      <c r="A63" s="35" t="s">
        <v>80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 spans="1:12" ht="16" x14ac:dyDescent="0.2">
      <c r="A64" s="5" t="s">
        <v>81</v>
      </c>
      <c r="B64" s="5" t="s">
        <v>20</v>
      </c>
      <c r="C64" s="5"/>
      <c r="D64" s="5"/>
      <c r="E64" s="5"/>
      <c r="F64" s="5"/>
      <c r="G64" s="5"/>
      <c r="H64" s="5"/>
      <c r="I64" s="5"/>
      <c r="J64" s="5"/>
      <c r="K64" s="6"/>
      <c r="L64" s="4" t="str">
        <f t="shared" ref="L64:L94" si="2">IF(COUNTA(C64:J64)=0,"",ROUND((C64&gt;=2)*15+(D64&gt;=6)*10+(E64&gt;=1)*15+(F64&gt;=10)*10+(LEN(G64)&gt;0)*15+(H64&gt;=7)*10+(I64&gt;=2)*10+(J64&gt;=10)*15,0))</f>
        <v/>
      </c>
    </row>
    <row r="65" spans="1:12" ht="16" x14ac:dyDescent="0.2">
      <c r="A65" s="2" t="s">
        <v>82</v>
      </c>
      <c r="B65" s="2" t="s">
        <v>22</v>
      </c>
      <c r="C65" s="2"/>
      <c r="D65" s="2"/>
      <c r="E65" s="2"/>
      <c r="F65" s="2"/>
      <c r="G65" s="2"/>
      <c r="H65" s="2"/>
      <c r="I65" s="2"/>
      <c r="J65" s="2"/>
      <c r="K65" s="3"/>
      <c r="L65" s="4" t="str">
        <f t="shared" si="2"/>
        <v/>
      </c>
    </row>
    <row r="66" spans="1:12" ht="16" x14ac:dyDescent="0.2">
      <c r="A66" s="2" t="s">
        <v>83</v>
      </c>
      <c r="B66" s="2" t="s">
        <v>24</v>
      </c>
      <c r="C66" s="2"/>
      <c r="D66" s="2"/>
      <c r="E66" s="2"/>
      <c r="F66" s="2"/>
      <c r="G66" s="2"/>
      <c r="H66" s="2"/>
      <c r="I66" s="2"/>
      <c r="J66" s="2"/>
      <c r="K66" s="3"/>
      <c r="L66" s="4" t="str">
        <f t="shared" si="2"/>
        <v/>
      </c>
    </row>
    <row r="67" spans="1:12" ht="16" x14ac:dyDescent="0.2">
      <c r="A67" s="2" t="s">
        <v>84</v>
      </c>
      <c r="B67" s="2" t="s">
        <v>26</v>
      </c>
      <c r="C67" s="2"/>
      <c r="D67" s="2"/>
      <c r="E67" s="2"/>
      <c r="F67" s="2"/>
      <c r="G67" s="2"/>
      <c r="H67" s="2"/>
      <c r="I67" s="2"/>
      <c r="J67" s="2"/>
      <c r="K67" s="3"/>
      <c r="L67" s="4" t="str">
        <f t="shared" si="2"/>
        <v/>
      </c>
    </row>
    <row r="68" spans="1:12" ht="16" x14ac:dyDescent="0.2">
      <c r="A68" s="2" t="s">
        <v>85</v>
      </c>
      <c r="B68" s="2" t="s">
        <v>14</v>
      </c>
      <c r="C68" s="2"/>
      <c r="D68" s="2"/>
      <c r="E68" s="2"/>
      <c r="F68" s="2"/>
      <c r="G68" s="2"/>
      <c r="H68" s="2"/>
      <c r="I68" s="2"/>
      <c r="J68" s="2"/>
      <c r="K68" s="3"/>
      <c r="L68" s="4" t="str">
        <f t="shared" si="2"/>
        <v/>
      </c>
    </row>
    <row r="69" spans="1:12" ht="16" x14ac:dyDescent="0.2">
      <c r="A69" s="2" t="s">
        <v>86</v>
      </c>
      <c r="B69" s="2" t="s">
        <v>16</v>
      </c>
      <c r="C69" s="2"/>
      <c r="D69" s="2"/>
      <c r="E69" s="2"/>
      <c r="F69" s="2"/>
      <c r="G69" s="2"/>
      <c r="H69" s="2"/>
      <c r="I69" s="2"/>
      <c r="J69" s="2"/>
      <c r="K69" s="3"/>
      <c r="L69" s="4" t="str">
        <f t="shared" si="2"/>
        <v/>
      </c>
    </row>
    <row r="70" spans="1:12" ht="16" x14ac:dyDescent="0.2">
      <c r="A70" s="5" t="s">
        <v>87</v>
      </c>
      <c r="B70" s="5" t="s">
        <v>18</v>
      </c>
      <c r="C70" s="5"/>
      <c r="D70" s="5"/>
      <c r="E70" s="5"/>
      <c r="F70" s="5"/>
      <c r="G70" s="5"/>
      <c r="H70" s="5"/>
      <c r="I70" s="5"/>
      <c r="J70" s="5"/>
      <c r="K70" s="6"/>
      <c r="L70" s="4" t="str">
        <f t="shared" si="2"/>
        <v/>
      </c>
    </row>
    <row r="71" spans="1:12" ht="16" x14ac:dyDescent="0.2">
      <c r="A71" s="5" t="s">
        <v>88</v>
      </c>
      <c r="B71" s="5" t="s">
        <v>20</v>
      </c>
      <c r="C71" s="5"/>
      <c r="D71" s="5"/>
      <c r="E71" s="5"/>
      <c r="F71" s="5"/>
      <c r="G71" s="5"/>
      <c r="H71" s="5"/>
      <c r="I71" s="5"/>
      <c r="J71" s="5"/>
      <c r="K71" s="6"/>
      <c r="L71" s="4" t="str">
        <f t="shared" si="2"/>
        <v/>
      </c>
    </row>
    <row r="72" spans="1:12" ht="16" x14ac:dyDescent="0.2">
      <c r="A72" s="2" t="s">
        <v>89</v>
      </c>
      <c r="B72" s="2" t="s">
        <v>22</v>
      </c>
      <c r="C72" s="2"/>
      <c r="D72" s="2"/>
      <c r="E72" s="2"/>
      <c r="F72" s="2"/>
      <c r="G72" s="2"/>
      <c r="H72" s="2"/>
      <c r="I72" s="2"/>
      <c r="J72" s="2"/>
      <c r="K72" s="3"/>
      <c r="L72" s="4" t="str">
        <f t="shared" si="2"/>
        <v/>
      </c>
    </row>
    <row r="73" spans="1:12" ht="16" x14ac:dyDescent="0.2">
      <c r="A73" s="2" t="s">
        <v>90</v>
      </c>
      <c r="B73" s="2" t="s">
        <v>24</v>
      </c>
      <c r="C73" s="2"/>
      <c r="D73" s="2"/>
      <c r="E73" s="2"/>
      <c r="F73" s="2"/>
      <c r="G73" s="2"/>
      <c r="H73" s="2"/>
      <c r="I73" s="2"/>
      <c r="J73" s="2"/>
      <c r="K73" s="3"/>
      <c r="L73" s="4" t="str">
        <f t="shared" si="2"/>
        <v/>
      </c>
    </row>
    <row r="74" spans="1:12" ht="16" x14ac:dyDescent="0.2">
      <c r="A74" s="2" t="s">
        <v>91</v>
      </c>
      <c r="B74" s="2" t="s">
        <v>26</v>
      </c>
      <c r="C74" s="2"/>
      <c r="D74" s="2"/>
      <c r="E74" s="2"/>
      <c r="F74" s="2"/>
      <c r="G74" s="2"/>
      <c r="H74" s="2"/>
      <c r="I74" s="2"/>
      <c r="J74" s="2"/>
      <c r="K74" s="3"/>
      <c r="L74" s="4" t="str">
        <f t="shared" si="2"/>
        <v/>
      </c>
    </row>
    <row r="75" spans="1:12" ht="16" x14ac:dyDescent="0.2">
      <c r="A75" s="2" t="s">
        <v>92</v>
      </c>
      <c r="B75" s="2" t="s">
        <v>14</v>
      </c>
      <c r="C75" s="2"/>
      <c r="D75" s="2"/>
      <c r="E75" s="2"/>
      <c r="F75" s="2"/>
      <c r="G75" s="2"/>
      <c r="H75" s="2"/>
      <c r="I75" s="2"/>
      <c r="J75" s="2"/>
      <c r="K75" s="3"/>
      <c r="L75" s="4" t="str">
        <f t="shared" si="2"/>
        <v/>
      </c>
    </row>
    <row r="76" spans="1:12" ht="16" x14ac:dyDescent="0.2">
      <c r="A76" s="2" t="s">
        <v>93</v>
      </c>
      <c r="B76" s="2" t="s">
        <v>16</v>
      </c>
      <c r="C76" s="2"/>
      <c r="D76" s="2"/>
      <c r="E76" s="2"/>
      <c r="F76" s="2"/>
      <c r="G76" s="2"/>
      <c r="H76" s="2"/>
      <c r="I76" s="2"/>
      <c r="J76" s="2"/>
      <c r="K76" s="3"/>
      <c r="L76" s="4" t="str">
        <f t="shared" si="2"/>
        <v/>
      </c>
    </row>
    <row r="77" spans="1:12" ht="16" x14ac:dyDescent="0.2">
      <c r="A77" s="5" t="s">
        <v>94</v>
      </c>
      <c r="B77" s="5" t="s">
        <v>18</v>
      </c>
      <c r="C77" s="5"/>
      <c r="D77" s="5"/>
      <c r="E77" s="5"/>
      <c r="F77" s="5"/>
      <c r="G77" s="5"/>
      <c r="H77" s="5"/>
      <c r="I77" s="5"/>
      <c r="J77" s="5"/>
      <c r="K77" s="6"/>
      <c r="L77" s="4" t="str">
        <f t="shared" si="2"/>
        <v/>
      </c>
    </row>
    <row r="78" spans="1:12" ht="16" x14ac:dyDescent="0.2">
      <c r="A78" s="5" t="s">
        <v>95</v>
      </c>
      <c r="B78" s="5" t="s">
        <v>20</v>
      </c>
      <c r="C78" s="5"/>
      <c r="D78" s="5"/>
      <c r="E78" s="5"/>
      <c r="F78" s="5"/>
      <c r="G78" s="5"/>
      <c r="H78" s="5"/>
      <c r="I78" s="5"/>
      <c r="J78" s="5"/>
      <c r="K78" s="6"/>
      <c r="L78" s="4" t="str">
        <f t="shared" si="2"/>
        <v/>
      </c>
    </row>
    <row r="79" spans="1:12" ht="16" x14ac:dyDescent="0.2">
      <c r="A79" s="2" t="s">
        <v>96</v>
      </c>
      <c r="B79" s="2" t="s">
        <v>22</v>
      </c>
      <c r="C79" s="2"/>
      <c r="D79" s="2"/>
      <c r="E79" s="2"/>
      <c r="F79" s="2"/>
      <c r="G79" s="2"/>
      <c r="H79" s="2"/>
      <c r="I79" s="2"/>
      <c r="J79" s="2"/>
      <c r="K79" s="3"/>
      <c r="L79" s="4" t="str">
        <f t="shared" si="2"/>
        <v/>
      </c>
    </row>
    <row r="80" spans="1:12" ht="16" x14ac:dyDescent="0.2">
      <c r="A80" s="2" t="s">
        <v>97</v>
      </c>
      <c r="B80" s="2" t="s">
        <v>24</v>
      </c>
      <c r="C80" s="2"/>
      <c r="D80" s="2"/>
      <c r="E80" s="2"/>
      <c r="F80" s="2"/>
      <c r="G80" s="2"/>
      <c r="H80" s="2"/>
      <c r="I80" s="2"/>
      <c r="J80" s="2"/>
      <c r="K80" s="3"/>
      <c r="L80" s="4" t="str">
        <f t="shared" si="2"/>
        <v/>
      </c>
    </row>
    <row r="81" spans="1:12" ht="16" x14ac:dyDescent="0.2">
      <c r="A81" s="2" t="s">
        <v>98</v>
      </c>
      <c r="B81" s="2" t="s">
        <v>26</v>
      </c>
      <c r="C81" s="2"/>
      <c r="D81" s="2"/>
      <c r="E81" s="2"/>
      <c r="F81" s="2"/>
      <c r="G81" s="2"/>
      <c r="H81" s="2"/>
      <c r="I81" s="2"/>
      <c r="J81" s="2"/>
      <c r="K81" s="3"/>
      <c r="L81" s="4" t="str">
        <f t="shared" si="2"/>
        <v/>
      </c>
    </row>
    <row r="82" spans="1:12" ht="16" x14ac:dyDescent="0.2">
      <c r="A82" s="2" t="s">
        <v>99</v>
      </c>
      <c r="B82" s="2" t="s">
        <v>14</v>
      </c>
      <c r="C82" s="2"/>
      <c r="D82" s="2"/>
      <c r="E82" s="2"/>
      <c r="F82" s="2"/>
      <c r="G82" s="2"/>
      <c r="H82" s="2"/>
      <c r="I82" s="2"/>
      <c r="J82" s="2"/>
      <c r="K82" s="3"/>
      <c r="L82" s="4" t="str">
        <f t="shared" si="2"/>
        <v/>
      </c>
    </row>
    <row r="83" spans="1:12" ht="16" x14ac:dyDescent="0.2">
      <c r="A83" s="2" t="s">
        <v>100</v>
      </c>
      <c r="B83" s="2" t="s">
        <v>16</v>
      </c>
      <c r="C83" s="2"/>
      <c r="D83" s="2"/>
      <c r="E83" s="2"/>
      <c r="F83" s="2"/>
      <c r="G83" s="2"/>
      <c r="H83" s="2"/>
      <c r="I83" s="2"/>
      <c r="J83" s="2"/>
      <c r="K83" s="3"/>
      <c r="L83" s="4" t="str">
        <f t="shared" si="2"/>
        <v/>
      </c>
    </row>
    <row r="84" spans="1:12" ht="16" x14ac:dyDescent="0.2">
      <c r="A84" s="5" t="s">
        <v>101</v>
      </c>
      <c r="B84" s="5" t="s">
        <v>18</v>
      </c>
      <c r="C84" s="5"/>
      <c r="D84" s="5"/>
      <c r="E84" s="5"/>
      <c r="F84" s="5"/>
      <c r="G84" s="5"/>
      <c r="H84" s="5"/>
      <c r="I84" s="5"/>
      <c r="J84" s="5"/>
      <c r="K84" s="6"/>
      <c r="L84" s="4" t="str">
        <f t="shared" si="2"/>
        <v/>
      </c>
    </row>
    <row r="85" spans="1:12" ht="16" x14ac:dyDescent="0.2">
      <c r="A85" s="5" t="s">
        <v>102</v>
      </c>
      <c r="B85" s="5" t="s">
        <v>20</v>
      </c>
      <c r="C85" s="5"/>
      <c r="D85" s="5"/>
      <c r="E85" s="5"/>
      <c r="F85" s="5"/>
      <c r="G85" s="5"/>
      <c r="H85" s="5"/>
      <c r="I85" s="5"/>
      <c r="J85" s="5"/>
      <c r="K85" s="6"/>
      <c r="L85" s="4" t="str">
        <f t="shared" si="2"/>
        <v/>
      </c>
    </row>
    <row r="86" spans="1:12" ht="16" x14ac:dyDescent="0.2">
      <c r="A86" s="2" t="s">
        <v>103</v>
      </c>
      <c r="B86" s="2" t="s">
        <v>22</v>
      </c>
      <c r="C86" s="2"/>
      <c r="D86" s="2"/>
      <c r="E86" s="2"/>
      <c r="F86" s="2"/>
      <c r="G86" s="2"/>
      <c r="H86" s="2"/>
      <c r="I86" s="2"/>
      <c r="J86" s="2"/>
      <c r="K86" s="3"/>
      <c r="L86" s="4" t="str">
        <f t="shared" si="2"/>
        <v/>
      </c>
    </row>
    <row r="87" spans="1:12" ht="16" x14ac:dyDescent="0.2">
      <c r="A87" s="2" t="s">
        <v>104</v>
      </c>
      <c r="B87" s="2" t="s">
        <v>24</v>
      </c>
      <c r="C87" s="2"/>
      <c r="D87" s="2"/>
      <c r="E87" s="2"/>
      <c r="F87" s="2"/>
      <c r="G87" s="2"/>
      <c r="H87" s="2"/>
      <c r="I87" s="2"/>
      <c r="J87" s="2"/>
      <c r="K87" s="3"/>
      <c r="L87" s="4" t="str">
        <f t="shared" si="2"/>
        <v/>
      </c>
    </row>
    <row r="88" spans="1:12" ht="16" x14ac:dyDescent="0.2">
      <c r="A88" s="2" t="s">
        <v>105</v>
      </c>
      <c r="B88" s="2" t="s">
        <v>26</v>
      </c>
      <c r="C88" s="2"/>
      <c r="D88" s="2"/>
      <c r="E88" s="2"/>
      <c r="F88" s="2"/>
      <c r="G88" s="2"/>
      <c r="H88" s="2"/>
      <c r="I88" s="2"/>
      <c r="J88" s="2"/>
      <c r="K88" s="3"/>
      <c r="L88" s="4" t="str">
        <f t="shared" si="2"/>
        <v/>
      </c>
    </row>
    <row r="89" spans="1:12" ht="16" x14ac:dyDescent="0.2">
      <c r="A89" s="2" t="s">
        <v>106</v>
      </c>
      <c r="B89" s="2" t="s">
        <v>14</v>
      </c>
      <c r="C89" s="2"/>
      <c r="D89" s="2"/>
      <c r="E89" s="2"/>
      <c r="F89" s="2"/>
      <c r="G89" s="2"/>
      <c r="H89" s="2"/>
      <c r="I89" s="2"/>
      <c r="J89" s="2"/>
      <c r="K89" s="3"/>
      <c r="L89" s="4" t="str">
        <f t="shared" si="2"/>
        <v/>
      </c>
    </row>
    <row r="90" spans="1:12" ht="16" x14ac:dyDescent="0.2">
      <c r="A90" s="2" t="s">
        <v>107</v>
      </c>
      <c r="B90" s="2" t="s">
        <v>16</v>
      </c>
      <c r="C90" s="2"/>
      <c r="D90" s="2"/>
      <c r="E90" s="2"/>
      <c r="F90" s="2"/>
      <c r="G90" s="2"/>
      <c r="H90" s="2"/>
      <c r="I90" s="2"/>
      <c r="J90" s="2"/>
      <c r="K90" s="3"/>
      <c r="L90" s="4" t="str">
        <f t="shared" si="2"/>
        <v/>
      </c>
    </row>
    <row r="91" spans="1:12" ht="16" x14ac:dyDescent="0.2">
      <c r="A91" s="5" t="s">
        <v>108</v>
      </c>
      <c r="B91" s="5" t="s">
        <v>18</v>
      </c>
      <c r="C91" s="5"/>
      <c r="D91" s="5"/>
      <c r="E91" s="5"/>
      <c r="F91" s="5"/>
      <c r="G91" s="5"/>
      <c r="H91" s="5"/>
      <c r="I91" s="5"/>
      <c r="J91" s="5"/>
      <c r="K91" s="6"/>
      <c r="L91" s="4" t="str">
        <f t="shared" si="2"/>
        <v/>
      </c>
    </row>
    <row r="92" spans="1:12" ht="16" x14ac:dyDescent="0.2">
      <c r="A92" s="5" t="s">
        <v>109</v>
      </c>
      <c r="B92" s="5" t="s">
        <v>20</v>
      </c>
      <c r="C92" s="5"/>
      <c r="D92" s="5"/>
      <c r="E92" s="5"/>
      <c r="F92" s="5"/>
      <c r="G92" s="5"/>
      <c r="H92" s="5"/>
      <c r="I92" s="5"/>
      <c r="J92" s="5"/>
      <c r="K92" s="6"/>
      <c r="L92" s="4" t="str">
        <f t="shared" si="2"/>
        <v/>
      </c>
    </row>
    <row r="93" spans="1:12" ht="16" x14ac:dyDescent="0.2">
      <c r="A93" s="2" t="s">
        <v>110</v>
      </c>
      <c r="B93" s="2" t="s">
        <v>22</v>
      </c>
      <c r="C93" s="2"/>
      <c r="D93" s="2"/>
      <c r="E93" s="2"/>
      <c r="F93" s="2"/>
      <c r="G93" s="2"/>
      <c r="H93" s="2"/>
      <c r="I93" s="2"/>
      <c r="J93" s="2"/>
      <c r="K93" s="3"/>
      <c r="L93" s="4" t="str">
        <f t="shared" si="2"/>
        <v/>
      </c>
    </row>
    <row r="94" spans="1:12" ht="16" x14ac:dyDescent="0.2">
      <c r="A94" s="2" t="s">
        <v>111</v>
      </c>
      <c r="B94" s="2" t="s">
        <v>24</v>
      </c>
      <c r="C94" s="2"/>
      <c r="D94" s="2"/>
      <c r="E94" s="2"/>
      <c r="F94" s="2"/>
      <c r="G94" s="2"/>
      <c r="H94" s="2"/>
      <c r="I94" s="2"/>
      <c r="J94" s="2"/>
      <c r="K94" s="3"/>
      <c r="L94" s="4" t="str">
        <f t="shared" si="2"/>
        <v/>
      </c>
    </row>
  </sheetData>
  <mergeCells count="3">
    <mergeCell ref="A2:L2"/>
    <mergeCell ref="A34:L34"/>
    <mergeCell ref="A63:L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topLeftCell="A6" workbookViewId="0">
      <selection activeCell="B33" sqref="B33"/>
    </sheetView>
  </sheetViews>
  <sheetFormatPr baseColWidth="10" defaultColWidth="52" defaultRowHeight="15" x14ac:dyDescent="0.2"/>
  <sheetData>
    <row r="1" spans="1:4" x14ac:dyDescent="0.2">
      <c r="A1" s="45" t="s">
        <v>112</v>
      </c>
      <c r="B1" s="36"/>
      <c r="C1" s="36"/>
      <c r="D1" s="36"/>
    </row>
    <row r="2" spans="1:4" x14ac:dyDescent="0.2">
      <c r="A2" s="46" t="s">
        <v>113</v>
      </c>
      <c r="B2" s="36"/>
      <c r="C2" s="47" t="s">
        <v>114</v>
      </c>
      <c r="D2" s="36"/>
    </row>
    <row r="3" spans="1:4" x14ac:dyDescent="0.2">
      <c r="A3" s="43" t="s">
        <v>115</v>
      </c>
      <c r="B3" s="36"/>
      <c r="C3" s="43" t="s">
        <v>116</v>
      </c>
      <c r="D3" s="36"/>
    </row>
    <row r="4" spans="1:4" ht="16" x14ac:dyDescent="0.2">
      <c r="A4" s="19" t="s">
        <v>117</v>
      </c>
      <c r="B4" s="6" t="s">
        <v>118</v>
      </c>
      <c r="C4" s="19" t="s">
        <v>119</v>
      </c>
      <c r="D4" s="6" t="s">
        <v>118</v>
      </c>
    </row>
    <row r="5" spans="1:4" ht="16" x14ac:dyDescent="0.2">
      <c r="A5" s="19" t="s">
        <v>120</v>
      </c>
      <c r="B5" s="6" t="s">
        <v>121</v>
      </c>
      <c r="C5" s="19" t="s">
        <v>122</v>
      </c>
      <c r="D5" s="6" t="s">
        <v>123</v>
      </c>
    </row>
    <row r="6" spans="1:4" ht="16" x14ac:dyDescent="0.2">
      <c r="A6" s="19" t="s">
        <v>124</v>
      </c>
      <c r="B6" s="6" t="s">
        <v>125</v>
      </c>
      <c r="C6" s="3"/>
      <c r="D6" s="20" t="s">
        <v>126</v>
      </c>
    </row>
    <row r="7" spans="1:4" ht="16" x14ac:dyDescent="0.2">
      <c r="A7" s="19" t="s">
        <v>127</v>
      </c>
      <c r="B7" s="6" t="s">
        <v>128</v>
      </c>
      <c r="C7" s="3"/>
      <c r="D7" s="3"/>
    </row>
    <row r="8" spans="1:4" ht="16" x14ac:dyDescent="0.2">
      <c r="A8" s="3"/>
      <c r="B8" s="3"/>
      <c r="C8" s="19" t="s">
        <v>129</v>
      </c>
      <c r="D8" s="6" t="s">
        <v>130</v>
      </c>
    </row>
    <row r="9" spans="1:4" x14ac:dyDescent="0.2">
      <c r="A9" s="21" t="s">
        <v>131</v>
      </c>
      <c r="B9" s="22" t="s">
        <v>132</v>
      </c>
      <c r="C9" s="3"/>
      <c r="D9" s="20" t="s">
        <v>133</v>
      </c>
    </row>
    <row r="10" spans="1:4" x14ac:dyDescent="0.2">
      <c r="A10" s="3"/>
      <c r="B10" s="20" t="s">
        <v>134</v>
      </c>
      <c r="C10" s="3"/>
      <c r="D10" s="3"/>
    </row>
    <row r="11" spans="1:4" ht="16" x14ac:dyDescent="0.2">
      <c r="A11" s="3"/>
      <c r="B11" s="20" t="s">
        <v>135</v>
      </c>
      <c r="C11" s="19" t="s">
        <v>136</v>
      </c>
      <c r="D11" s="6" t="s">
        <v>137</v>
      </c>
    </row>
    <row r="12" spans="1:4" x14ac:dyDescent="0.2">
      <c r="A12" s="3"/>
      <c r="B12" s="3"/>
      <c r="C12" s="3"/>
      <c r="D12" s="3"/>
    </row>
    <row r="13" spans="1:4" x14ac:dyDescent="0.2">
      <c r="A13" s="21" t="s">
        <v>138</v>
      </c>
      <c r="B13" s="22" t="s">
        <v>139</v>
      </c>
      <c r="C13" s="21" t="s">
        <v>140</v>
      </c>
      <c r="D13" s="22" t="s">
        <v>132</v>
      </c>
    </row>
    <row r="14" spans="1:4" x14ac:dyDescent="0.2">
      <c r="A14" s="3"/>
      <c r="B14" s="20" t="s">
        <v>141</v>
      </c>
      <c r="C14" s="3"/>
      <c r="D14" s="20" t="s">
        <v>142</v>
      </c>
    </row>
    <row r="15" spans="1:4" x14ac:dyDescent="0.2">
      <c r="A15" s="3"/>
      <c r="B15" s="3"/>
      <c r="C15" s="3"/>
      <c r="D15" s="20" t="s">
        <v>143</v>
      </c>
    </row>
    <row r="16" spans="1:4" ht="16" x14ac:dyDescent="0.2">
      <c r="A16" s="23" t="s">
        <v>144</v>
      </c>
      <c r="B16" s="24" t="s">
        <v>145</v>
      </c>
      <c r="C16" s="3"/>
      <c r="D16" s="3"/>
    </row>
    <row r="17" spans="1:4" ht="16" x14ac:dyDescent="0.2">
      <c r="A17" s="3"/>
      <c r="B17" s="20" t="s">
        <v>146</v>
      </c>
      <c r="C17" s="23" t="s">
        <v>147</v>
      </c>
      <c r="D17" s="24" t="s">
        <v>148</v>
      </c>
    </row>
    <row r="18" spans="1:4" x14ac:dyDescent="0.2">
      <c r="A18" s="3"/>
      <c r="B18" s="3"/>
      <c r="C18" s="3"/>
      <c r="D18" s="20" t="s">
        <v>149</v>
      </c>
    </row>
    <row r="19" spans="1:4" x14ac:dyDescent="0.2">
      <c r="A19" s="21" t="s">
        <v>150</v>
      </c>
      <c r="B19" s="22" t="s">
        <v>151</v>
      </c>
      <c r="C19" s="3"/>
      <c r="D19" s="20" t="s">
        <v>152</v>
      </c>
    </row>
    <row r="20" spans="1:4" x14ac:dyDescent="0.2">
      <c r="A20" s="3"/>
      <c r="B20" s="20" t="s">
        <v>153</v>
      </c>
      <c r="C20" s="3"/>
      <c r="D20" s="3"/>
    </row>
    <row r="21" spans="1:4" ht="16" x14ac:dyDescent="0.2">
      <c r="A21" s="3"/>
      <c r="B21" s="20" t="s">
        <v>154</v>
      </c>
      <c r="C21" s="25" t="s">
        <v>155</v>
      </c>
      <c r="D21" s="26" t="s">
        <v>156</v>
      </c>
    </row>
    <row r="22" spans="1:4" x14ac:dyDescent="0.2">
      <c r="A22" s="3"/>
      <c r="B22" s="3"/>
      <c r="C22" s="3"/>
      <c r="D22" s="20" t="s">
        <v>157</v>
      </c>
    </row>
    <row r="23" spans="1:4" ht="16" x14ac:dyDescent="0.2">
      <c r="A23" s="25" t="s">
        <v>158</v>
      </c>
      <c r="B23" s="26" t="s">
        <v>159</v>
      </c>
      <c r="C23" s="3"/>
      <c r="D23" s="3"/>
    </row>
    <row r="24" spans="1:4" ht="16" x14ac:dyDescent="0.2">
      <c r="A24" s="3"/>
      <c r="B24" s="20" t="s">
        <v>160</v>
      </c>
      <c r="C24" s="25" t="s">
        <v>161</v>
      </c>
      <c r="D24" s="26" t="s">
        <v>162</v>
      </c>
    </row>
    <row r="25" spans="1:4" x14ac:dyDescent="0.2">
      <c r="A25" s="3"/>
      <c r="B25" s="3"/>
      <c r="C25" s="3"/>
      <c r="D25" s="20" t="s">
        <v>163</v>
      </c>
    </row>
    <row r="26" spans="1:4" ht="16" x14ac:dyDescent="0.2">
      <c r="A26" s="25" t="s">
        <v>164</v>
      </c>
      <c r="B26" s="26" t="s">
        <v>165</v>
      </c>
      <c r="C26" s="3"/>
      <c r="D26" s="20" t="s">
        <v>166</v>
      </c>
    </row>
    <row r="27" spans="1:4" x14ac:dyDescent="0.2">
      <c r="A27" s="3"/>
      <c r="B27" s="3"/>
      <c r="C27" s="3"/>
      <c r="D27" s="3"/>
    </row>
    <row r="28" spans="1:4" ht="16" x14ac:dyDescent="0.2">
      <c r="A28" s="25" t="s">
        <v>167</v>
      </c>
      <c r="B28" s="26" t="s">
        <v>168</v>
      </c>
      <c r="C28" s="25" t="s">
        <v>169</v>
      </c>
      <c r="D28" s="26" t="s">
        <v>170</v>
      </c>
    </row>
    <row r="29" spans="1:4" x14ac:dyDescent="0.2">
      <c r="A29" s="3"/>
      <c r="B29" s="3"/>
      <c r="C29" s="3"/>
      <c r="D29" s="3"/>
    </row>
    <row r="30" spans="1:4" ht="16" x14ac:dyDescent="0.2">
      <c r="A30" s="25" t="s">
        <v>171</v>
      </c>
      <c r="B30" s="26" t="s">
        <v>172</v>
      </c>
      <c r="C30" s="25" t="s">
        <v>173</v>
      </c>
      <c r="D30" s="26" t="s">
        <v>174</v>
      </c>
    </row>
    <row r="31" spans="1:4" x14ac:dyDescent="0.2">
      <c r="A31" s="3"/>
      <c r="B31" s="20" t="s">
        <v>175</v>
      </c>
      <c r="C31" s="3"/>
      <c r="D31" s="20" t="s">
        <v>176</v>
      </c>
    </row>
    <row r="32" spans="1:4" x14ac:dyDescent="0.2">
      <c r="A32" s="3"/>
      <c r="B32" s="3"/>
      <c r="C32" s="3"/>
      <c r="D32" s="20" t="s">
        <v>177</v>
      </c>
    </row>
    <row r="33" spans="1:4" ht="16" x14ac:dyDescent="0.2">
      <c r="A33" s="25" t="s">
        <v>169</v>
      </c>
      <c r="B33" s="26" t="s">
        <v>178</v>
      </c>
      <c r="C33" s="3"/>
      <c r="D33" s="3"/>
    </row>
    <row r="34" spans="1:4" x14ac:dyDescent="0.2">
      <c r="A34" s="3"/>
      <c r="B34" s="20" t="s">
        <v>179</v>
      </c>
      <c r="C34" s="27" t="s">
        <v>180</v>
      </c>
      <c r="D34" s="28" t="s">
        <v>181</v>
      </c>
    </row>
    <row r="35" spans="1:4" x14ac:dyDescent="0.2">
      <c r="A35" s="3"/>
      <c r="B35" s="20" t="s">
        <v>182</v>
      </c>
    </row>
    <row r="36" spans="1:4" x14ac:dyDescent="0.2">
      <c r="A36" s="3"/>
      <c r="B36" s="20" t="s">
        <v>183</v>
      </c>
    </row>
    <row r="37" spans="1:4" x14ac:dyDescent="0.2">
      <c r="A37" s="48" t="s">
        <v>184</v>
      </c>
      <c r="B37" s="49"/>
      <c r="C37" s="49"/>
      <c r="D37" s="38"/>
    </row>
    <row r="38" spans="1:4" ht="30" x14ac:dyDescent="0.2">
      <c r="A38" s="28" t="s">
        <v>185</v>
      </c>
      <c r="B38" s="29" t="s">
        <v>186</v>
      </c>
      <c r="C38" s="41" t="s">
        <v>187</v>
      </c>
      <c r="D38" s="38"/>
    </row>
    <row r="39" spans="1:4" ht="30" x14ac:dyDescent="0.2">
      <c r="A39" s="30" t="s">
        <v>188</v>
      </c>
      <c r="B39" s="31" t="s">
        <v>189</v>
      </c>
      <c r="C39" s="41" t="s">
        <v>190</v>
      </c>
      <c r="D39" s="38"/>
    </row>
    <row r="40" spans="1:4" x14ac:dyDescent="0.2">
      <c r="A40" s="30" t="s">
        <v>191</v>
      </c>
      <c r="B40" s="31" t="s">
        <v>192</v>
      </c>
      <c r="C40" s="41" t="s">
        <v>193</v>
      </c>
      <c r="D40" s="38"/>
    </row>
    <row r="41" spans="1:4" x14ac:dyDescent="0.2">
      <c r="A41" s="30" t="s">
        <v>194</v>
      </c>
      <c r="B41" s="31" t="s">
        <v>195</v>
      </c>
      <c r="C41" s="41" t="s">
        <v>196</v>
      </c>
      <c r="D41" s="38"/>
    </row>
    <row r="42" spans="1:4" ht="30" x14ac:dyDescent="0.2">
      <c r="A42" s="30" t="s">
        <v>197</v>
      </c>
      <c r="B42" s="31" t="s">
        <v>198</v>
      </c>
      <c r="C42" s="41" t="s">
        <v>199</v>
      </c>
      <c r="D42" s="38"/>
    </row>
    <row r="43" spans="1:4" x14ac:dyDescent="0.2">
      <c r="A43" s="32"/>
      <c r="B43" s="33"/>
      <c r="C43" s="34"/>
    </row>
    <row r="44" spans="1:4" ht="30" x14ac:dyDescent="0.2">
      <c r="A44" s="30" t="s">
        <v>200</v>
      </c>
      <c r="B44" s="31" t="s">
        <v>201</v>
      </c>
      <c r="C44" s="41" t="s">
        <v>202</v>
      </c>
      <c r="D44" s="38"/>
    </row>
    <row r="47" spans="1:4" x14ac:dyDescent="0.2">
      <c r="A47" s="51" t="s">
        <v>203</v>
      </c>
      <c r="B47" s="36"/>
      <c r="C47" s="36"/>
      <c r="D47" s="36"/>
    </row>
    <row r="48" spans="1:4" x14ac:dyDescent="0.2">
      <c r="A48" s="37" t="s">
        <v>204</v>
      </c>
      <c r="B48" s="38"/>
      <c r="C48" s="42"/>
      <c r="D48" s="38"/>
    </row>
    <row r="49" spans="1:4" x14ac:dyDescent="0.2">
      <c r="A49" s="39" t="s">
        <v>205</v>
      </c>
      <c r="B49" s="38"/>
      <c r="C49" s="42"/>
      <c r="D49" s="38"/>
    </row>
    <row r="50" spans="1:4" x14ac:dyDescent="0.2">
      <c r="A50" s="44" t="s">
        <v>206</v>
      </c>
      <c r="B50" s="38"/>
      <c r="C50" s="42"/>
      <c r="D50" s="38"/>
    </row>
    <row r="51" spans="1:4" x14ac:dyDescent="0.2">
      <c r="A51" s="40" t="s">
        <v>207</v>
      </c>
      <c r="B51" s="38"/>
      <c r="C51" s="42"/>
      <c r="D51" s="38"/>
    </row>
    <row r="52" spans="1:4" x14ac:dyDescent="0.2">
      <c r="A52" s="50" t="s">
        <v>208</v>
      </c>
      <c r="B52" s="38"/>
      <c r="C52" s="42"/>
      <c r="D52" s="38"/>
    </row>
  </sheetData>
  <mergeCells count="23">
    <mergeCell ref="C52:D52"/>
    <mergeCell ref="C48:D48"/>
    <mergeCell ref="C39:D39"/>
    <mergeCell ref="A37:D37"/>
    <mergeCell ref="C38:D38"/>
    <mergeCell ref="A52:B52"/>
    <mergeCell ref="A47:D47"/>
    <mergeCell ref="C49:D49"/>
    <mergeCell ref="C40:D40"/>
    <mergeCell ref="A3:B3"/>
    <mergeCell ref="A50:B50"/>
    <mergeCell ref="A1:D1"/>
    <mergeCell ref="A2:B2"/>
    <mergeCell ref="C2:D2"/>
    <mergeCell ref="C3:D3"/>
    <mergeCell ref="A48:B48"/>
    <mergeCell ref="A49:B49"/>
    <mergeCell ref="A51:B51"/>
    <mergeCell ref="C42:D42"/>
    <mergeCell ref="C41:D41"/>
    <mergeCell ref="C50:D50"/>
    <mergeCell ref="C44:D44"/>
    <mergeCell ref="C51:D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baseColWidth="10" defaultColWidth="8.83203125" defaultRowHeight="15" x14ac:dyDescent="0.2"/>
  <cols>
    <col min="1" max="1" width="20" customWidth="1"/>
    <col min="2" max="5" width="15" customWidth="1"/>
  </cols>
  <sheetData>
    <row r="1" spans="1:5" ht="16" x14ac:dyDescent="0.2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</row>
    <row r="2" spans="1:5" ht="16" x14ac:dyDescent="0.2">
      <c r="A2" s="7" t="s">
        <v>214</v>
      </c>
      <c r="B2" s="8">
        <f>SUM('Q1 2026 Daily Tracker'!C3:C33)</f>
        <v>0</v>
      </c>
      <c r="C2" s="8">
        <f>SUM('Q1 2026 Daily Tracker'!C35:C62)</f>
        <v>0</v>
      </c>
      <c r="D2" s="8">
        <f>SUM('Q1 2026 Daily Tracker'!C64:C94)</f>
        <v>0</v>
      </c>
      <c r="E2" s="8">
        <f>SUM(B2:D2)</f>
        <v>0</v>
      </c>
    </row>
    <row r="3" spans="1:5" ht="16" x14ac:dyDescent="0.2">
      <c r="A3" s="7" t="s">
        <v>215</v>
      </c>
      <c r="B3" s="8">
        <f>SUM('Q1 2026 Daily Tracker'!D3:D33)</f>
        <v>0</v>
      </c>
      <c r="C3" s="8">
        <f>SUM('Q1 2026 Daily Tracker'!D35:D62)</f>
        <v>0</v>
      </c>
      <c r="D3" s="8">
        <f>SUM('Q1 2026 Daily Tracker'!D64:D94)</f>
        <v>0</v>
      </c>
      <c r="E3" s="8">
        <f>SUM(B3:D3)</f>
        <v>0</v>
      </c>
    </row>
    <row r="4" spans="1:5" ht="16" x14ac:dyDescent="0.2">
      <c r="A4" s="7" t="s">
        <v>216</v>
      </c>
      <c r="B4" s="8">
        <f>SUM('Q1 2026 Daily Tracker'!E3:E33)</f>
        <v>0</v>
      </c>
      <c r="C4" s="8">
        <f>SUM('Q1 2026 Daily Tracker'!E35:E62)</f>
        <v>0</v>
      </c>
      <c r="D4" s="8">
        <f>SUM('Q1 2026 Daily Tracker'!E64:E94)</f>
        <v>0</v>
      </c>
      <c r="E4" s="8">
        <f>SUM(B4:D4)</f>
        <v>0</v>
      </c>
    </row>
    <row r="5" spans="1:5" ht="16" x14ac:dyDescent="0.2">
      <c r="A5" s="7" t="s">
        <v>217</v>
      </c>
      <c r="B5" s="8">
        <f>SUM('Q1 2026 Daily Tracker'!F3:F33)</f>
        <v>0</v>
      </c>
      <c r="C5" s="8">
        <f>SUM('Q1 2026 Daily Tracker'!F35:F62)</f>
        <v>0</v>
      </c>
      <c r="D5" s="8">
        <f>SUM('Q1 2026 Daily Tracker'!F64:F94)</f>
        <v>0</v>
      </c>
      <c r="E5" s="8">
        <f>SUM(B5:D5)</f>
        <v>0</v>
      </c>
    </row>
    <row r="6" spans="1:5" ht="16" x14ac:dyDescent="0.2">
      <c r="A6" s="7" t="s">
        <v>218</v>
      </c>
      <c r="B6" s="8">
        <f>COUNTIF('Q1 2026 Daily Tracker'!G3:G33,"&lt;&gt;")</f>
        <v>0</v>
      </c>
      <c r="C6" s="8">
        <f>COUNTIF('Q1 2026 Daily Tracker'!G35:G62,"&lt;&gt;")</f>
        <v>0</v>
      </c>
      <c r="D6" s="8">
        <f>COUNTIF('Q1 2026 Daily Tracker'!G64:G94,"&lt;&gt;")</f>
        <v>0</v>
      </c>
      <c r="E6" s="8">
        <f>SUM(B6:D6)</f>
        <v>0</v>
      </c>
    </row>
    <row r="7" spans="1:5" ht="16" x14ac:dyDescent="0.2">
      <c r="A7" s="7" t="s">
        <v>219</v>
      </c>
      <c r="B7" s="9" t="e">
        <f>AVERAGE('Q1 2026 Daily Tracker'!H3:H33)</f>
        <v>#DIV/0!</v>
      </c>
      <c r="C7" s="9" t="e">
        <f>AVERAGE('Q1 2026 Daily Tracker'!H35:H62)</f>
        <v>#DIV/0!</v>
      </c>
      <c r="D7" s="9" t="e">
        <f>AVERAGE('Q1 2026 Daily Tracker'!H64:H94)</f>
        <v>#DIV/0!</v>
      </c>
      <c r="E7" s="9" t="e">
        <f>AVERAGE(B7:D7)</f>
        <v>#DIV/0!</v>
      </c>
    </row>
    <row r="8" spans="1:5" ht="16" x14ac:dyDescent="0.2">
      <c r="A8" s="7" t="s">
        <v>220</v>
      </c>
      <c r="B8" s="9" t="e">
        <f>AVERAGE('Q1 2026 Daily Tracker'!I3:I33)</f>
        <v>#DIV/0!</v>
      </c>
      <c r="C8" s="9" t="e">
        <f>AVERAGE('Q1 2026 Daily Tracker'!I35:I62)</f>
        <v>#DIV/0!</v>
      </c>
      <c r="D8" s="9" t="e">
        <f>AVERAGE('Q1 2026 Daily Tracker'!I64:I94)</f>
        <v>#DIV/0!</v>
      </c>
      <c r="E8" s="9" t="e">
        <f>AVERAGE(B8:D8)</f>
        <v>#DIV/0!</v>
      </c>
    </row>
    <row r="9" spans="1:5" ht="16" x14ac:dyDescent="0.2">
      <c r="A9" s="7" t="s">
        <v>221</v>
      </c>
      <c r="B9" s="8">
        <f>SUM('Q1 2026 Daily Tracker'!J3:J33)</f>
        <v>0</v>
      </c>
      <c r="C9" s="8">
        <f>SUM('Q1 2026 Daily Tracker'!J35:J62)</f>
        <v>0</v>
      </c>
      <c r="D9" s="8">
        <f>SUM('Q1 2026 Daily Tracker'!J64:J94)</f>
        <v>0</v>
      </c>
      <c r="E9" s="8">
        <f>SUM(B9:D9)</f>
        <v>0</v>
      </c>
    </row>
    <row r="10" spans="1:5" x14ac:dyDescent="0.2">
      <c r="A10" s="10"/>
      <c r="B10" s="2"/>
      <c r="C10" s="2"/>
      <c r="D10" s="2"/>
      <c r="E10" s="2"/>
    </row>
    <row r="11" spans="1:5" ht="16" x14ac:dyDescent="0.2">
      <c r="A11" s="7" t="s">
        <v>222</v>
      </c>
      <c r="B11" s="2">
        <f>COUNTIF('Q1 2026 Daily Tracker'!L3:L33,"&gt;0")</f>
        <v>0</v>
      </c>
      <c r="C11" s="2">
        <f>COUNTIF('Q1 2026 Daily Tracker'!L35:L62,"&gt;0")</f>
        <v>0</v>
      </c>
      <c r="D11" s="2">
        <f>COUNTIF('Q1 2026 Daily Tracker'!L64:L94,"&gt;0")</f>
        <v>0</v>
      </c>
      <c r="E11" s="2">
        <f>SUM(B11:D11)</f>
        <v>0</v>
      </c>
    </row>
    <row r="12" spans="1:5" ht="16" x14ac:dyDescent="0.2">
      <c r="A12" s="7" t="s">
        <v>223</v>
      </c>
      <c r="B12" s="2" t="e">
        <f>AVERAGE('Q1 2026 Daily Tracker'!L3:L33)</f>
        <v>#DIV/0!</v>
      </c>
      <c r="C12" s="2" t="e">
        <f>AVERAGE('Q1 2026 Daily Tracker'!L35:L62)</f>
        <v>#DIV/0!</v>
      </c>
      <c r="D12" s="2" t="e">
        <f>AVERAGE('Q1 2026 Daily Tracker'!L64:L94)</f>
        <v>#DIV/0!</v>
      </c>
      <c r="E12" s="2" t="e">
        <f>AVERAGE(B12:D12)</f>
        <v>#DIV/0!</v>
      </c>
    </row>
    <row r="13" spans="1:5" x14ac:dyDescent="0.2">
      <c r="A13" s="7" t="s">
        <v>224</v>
      </c>
      <c r="B13" s="2"/>
      <c r="C13" s="2"/>
      <c r="D13" s="2"/>
      <c r="E1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/>
  </sheetViews>
  <sheetFormatPr baseColWidth="10" defaultColWidth="8.83203125" defaultRowHeight="15" x14ac:dyDescent="0.2"/>
  <cols>
    <col min="1" max="1" width="15" customWidth="1"/>
    <col min="2" max="13" width="10" customWidth="1"/>
  </cols>
  <sheetData>
    <row r="1" spans="1:12" ht="16" x14ac:dyDescent="0.2">
      <c r="A1" s="1" t="s">
        <v>225</v>
      </c>
      <c r="B1" s="1" t="s">
        <v>22</v>
      </c>
      <c r="C1" s="1" t="s">
        <v>24</v>
      </c>
      <c r="D1" s="1" t="s">
        <v>26</v>
      </c>
      <c r="E1" s="1" t="s">
        <v>14</v>
      </c>
      <c r="F1" s="1" t="s">
        <v>16</v>
      </c>
      <c r="G1" s="1" t="s">
        <v>18</v>
      </c>
      <c r="H1" s="1" t="s">
        <v>20</v>
      </c>
      <c r="I1" s="1" t="s">
        <v>226</v>
      </c>
      <c r="J1" s="1" t="s">
        <v>227</v>
      </c>
      <c r="K1" s="1" t="s">
        <v>228</v>
      </c>
      <c r="L1" s="1" t="s">
        <v>229</v>
      </c>
    </row>
    <row r="2" spans="1:12" ht="16" x14ac:dyDescent="0.2">
      <c r="A2" s="4" t="s">
        <v>230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</row>
    <row r="3" spans="1:12" ht="16" x14ac:dyDescent="0.2">
      <c r="A3" s="4" t="s">
        <v>231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</row>
    <row r="4" spans="1:12" ht="32" x14ac:dyDescent="0.2">
      <c r="A4" s="4" t="s">
        <v>232</v>
      </c>
      <c r="B4" s="2"/>
      <c r="C4" s="2"/>
      <c r="D4" s="2"/>
      <c r="E4" s="2"/>
      <c r="F4" s="2"/>
      <c r="G4" s="2"/>
      <c r="H4" s="2"/>
      <c r="I4" s="2"/>
      <c r="J4" s="2"/>
      <c r="K4" s="3"/>
      <c r="L4" s="3"/>
    </row>
    <row r="5" spans="1:12" ht="32" x14ac:dyDescent="0.2">
      <c r="A5" s="4" t="s">
        <v>233</v>
      </c>
      <c r="B5" s="2"/>
      <c r="C5" s="2"/>
      <c r="D5" s="2"/>
      <c r="E5" s="2"/>
      <c r="F5" s="2"/>
      <c r="G5" s="2"/>
      <c r="H5" s="2"/>
      <c r="I5" s="2"/>
      <c r="J5" s="2"/>
      <c r="K5" s="3"/>
      <c r="L5" s="3"/>
    </row>
    <row r="6" spans="1:12" ht="32" x14ac:dyDescent="0.2">
      <c r="A6" s="4" t="s">
        <v>234</v>
      </c>
      <c r="B6" s="2"/>
      <c r="C6" s="2"/>
      <c r="D6" s="2"/>
      <c r="E6" s="2"/>
      <c r="F6" s="2"/>
      <c r="G6" s="2"/>
      <c r="H6" s="2"/>
      <c r="I6" s="2"/>
      <c r="J6" s="2"/>
      <c r="K6" s="3"/>
      <c r="L6" s="3"/>
    </row>
    <row r="7" spans="1:12" ht="16" x14ac:dyDescent="0.2">
      <c r="A7" s="4" t="s">
        <v>235</v>
      </c>
      <c r="B7" s="2"/>
      <c r="C7" s="2"/>
      <c r="D7" s="2"/>
      <c r="E7" s="2"/>
      <c r="F7" s="2"/>
      <c r="G7" s="2"/>
      <c r="H7" s="2"/>
      <c r="I7" s="2"/>
      <c r="J7" s="2"/>
      <c r="K7" s="3"/>
      <c r="L7" s="3"/>
    </row>
    <row r="8" spans="1:12" ht="32" x14ac:dyDescent="0.2">
      <c r="A8" s="4" t="s">
        <v>236</v>
      </c>
      <c r="B8" s="2"/>
      <c r="C8" s="2"/>
      <c r="D8" s="2"/>
      <c r="E8" s="2"/>
      <c r="F8" s="2"/>
      <c r="G8" s="2"/>
      <c r="H8" s="2"/>
      <c r="I8" s="2"/>
      <c r="J8" s="2"/>
      <c r="K8" s="3"/>
      <c r="L8" s="3"/>
    </row>
    <row r="9" spans="1:12" ht="32" x14ac:dyDescent="0.2">
      <c r="A9" s="4" t="s">
        <v>237</v>
      </c>
      <c r="B9" s="2"/>
      <c r="C9" s="2"/>
      <c r="D9" s="2"/>
      <c r="E9" s="2"/>
      <c r="F9" s="2"/>
      <c r="G9" s="2"/>
      <c r="H9" s="2"/>
      <c r="I9" s="2"/>
      <c r="J9" s="2"/>
      <c r="K9" s="3"/>
      <c r="L9" s="3"/>
    </row>
    <row r="10" spans="1:12" ht="32" x14ac:dyDescent="0.2">
      <c r="A10" s="4" t="s">
        <v>238</v>
      </c>
      <c r="B10" s="2"/>
      <c r="C10" s="2"/>
      <c r="D10" s="2"/>
      <c r="E10" s="2"/>
      <c r="F10" s="2"/>
      <c r="G10" s="2"/>
      <c r="H10" s="2"/>
      <c r="I10" s="2"/>
      <c r="J10" s="2"/>
      <c r="K10" s="3"/>
      <c r="L10" s="3"/>
    </row>
    <row r="11" spans="1:12" ht="32" x14ac:dyDescent="0.2">
      <c r="A11" s="4" t="s">
        <v>239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</row>
    <row r="12" spans="1:12" ht="32" x14ac:dyDescent="0.2">
      <c r="A12" s="4" t="s">
        <v>240</v>
      </c>
      <c r="B12" s="2"/>
      <c r="C12" s="2"/>
      <c r="D12" s="2"/>
      <c r="E12" s="2"/>
      <c r="F12" s="2"/>
      <c r="G12" s="2"/>
      <c r="H12" s="2"/>
      <c r="I12" s="2"/>
      <c r="J12" s="2"/>
      <c r="K12" s="3"/>
      <c r="L12" s="3"/>
    </row>
    <row r="13" spans="1:12" ht="32" x14ac:dyDescent="0.2">
      <c r="A13" s="4" t="s">
        <v>241</v>
      </c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</row>
    <row r="14" spans="1:12" ht="32" x14ac:dyDescent="0.2">
      <c r="A14" s="4" t="s">
        <v>242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/>
  </sheetViews>
  <sheetFormatPr baseColWidth="10" defaultColWidth="8.83203125" defaultRowHeight="15" x14ac:dyDescent="0.2"/>
  <cols>
    <col min="1" max="1" width="25" customWidth="1"/>
    <col min="2" max="2" width="50" customWidth="1"/>
    <col min="3" max="4" width="15" customWidth="1"/>
  </cols>
  <sheetData>
    <row r="1" spans="1:4" ht="16" x14ac:dyDescent="0.2">
      <c r="A1" s="1" t="s">
        <v>243</v>
      </c>
      <c r="B1" s="1" t="s">
        <v>244</v>
      </c>
      <c r="C1" s="1" t="s">
        <v>245</v>
      </c>
      <c r="D1" s="1" t="s">
        <v>246</v>
      </c>
    </row>
    <row r="2" spans="1:4" x14ac:dyDescent="0.2">
      <c r="A2" s="52" t="s">
        <v>247</v>
      </c>
      <c r="B2" s="49"/>
      <c r="C2" s="49"/>
      <c r="D2" s="38"/>
    </row>
    <row r="3" spans="1:4" ht="20" x14ac:dyDescent="0.2">
      <c r="A3" s="12" t="s">
        <v>248</v>
      </c>
      <c r="B3" s="3" t="s">
        <v>249</v>
      </c>
      <c r="C3" s="2" t="s">
        <v>50</v>
      </c>
      <c r="D3" s="13" t="s">
        <v>250</v>
      </c>
    </row>
    <row r="4" spans="1:4" ht="20" x14ac:dyDescent="0.2">
      <c r="A4" s="12" t="s">
        <v>251</v>
      </c>
      <c r="B4" s="3" t="s">
        <v>252</v>
      </c>
      <c r="C4" s="2" t="s">
        <v>79</v>
      </c>
      <c r="D4" s="13" t="s">
        <v>250</v>
      </c>
    </row>
    <row r="5" spans="1:4" ht="20" x14ac:dyDescent="0.2">
      <c r="A5" s="12" t="s">
        <v>253</v>
      </c>
      <c r="B5" s="3" t="s">
        <v>254</v>
      </c>
      <c r="C5" s="2" t="s">
        <v>111</v>
      </c>
      <c r="D5" s="13" t="s">
        <v>250</v>
      </c>
    </row>
    <row r="6" spans="1:4" ht="20" x14ac:dyDescent="0.2">
      <c r="A6" s="12" t="s">
        <v>255</v>
      </c>
      <c r="B6" s="3" t="s">
        <v>256</v>
      </c>
      <c r="C6" s="2" t="s">
        <v>257</v>
      </c>
      <c r="D6" s="13" t="s">
        <v>250</v>
      </c>
    </row>
    <row r="7" spans="1:4" ht="19" x14ac:dyDescent="0.2">
      <c r="A7" s="12"/>
      <c r="B7" s="3"/>
      <c r="C7" s="2"/>
      <c r="D7" s="13"/>
    </row>
    <row r="8" spans="1:4" x14ac:dyDescent="0.2">
      <c r="A8" s="52" t="s">
        <v>258</v>
      </c>
      <c r="B8" s="49"/>
      <c r="C8" s="49"/>
      <c r="D8" s="38"/>
    </row>
    <row r="9" spans="1:4" ht="20" x14ac:dyDescent="0.2">
      <c r="A9" s="12" t="s">
        <v>259</v>
      </c>
      <c r="B9" s="3" t="s">
        <v>260</v>
      </c>
      <c r="C9" s="2" t="s">
        <v>261</v>
      </c>
      <c r="D9" s="13" t="s">
        <v>250</v>
      </c>
    </row>
    <row r="10" spans="1:4" ht="20" x14ac:dyDescent="0.2">
      <c r="A10" s="12" t="s">
        <v>262</v>
      </c>
      <c r="B10" s="3" t="s">
        <v>263</v>
      </c>
      <c r="C10" s="2" t="s">
        <v>264</v>
      </c>
      <c r="D10" s="13" t="s">
        <v>250</v>
      </c>
    </row>
    <row r="11" spans="1:4" ht="20" x14ac:dyDescent="0.2">
      <c r="A11" s="12" t="s">
        <v>265</v>
      </c>
      <c r="B11" s="3" t="s">
        <v>266</v>
      </c>
      <c r="C11" s="2" t="s">
        <v>267</v>
      </c>
      <c r="D11" s="13" t="s">
        <v>250</v>
      </c>
    </row>
    <row r="12" spans="1:4" ht="20" x14ac:dyDescent="0.2">
      <c r="A12" s="12" t="s">
        <v>268</v>
      </c>
      <c r="B12" s="3" t="s">
        <v>269</v>
      </c>
      <c r="C12" s="2" t="s">
        <v>270</v>
      </c>
      <c r="D12" s="13" t="s">
        <v>250</v>
      </c>
    </row>
    <row r="13" spans="1:4" ht="19" x14ac:dyDescent="0.2">
      <c r="A13" s="12"/>
      <c r="B13" s="3"/>
      <c r="C13" s="2"/>
      <c r="D13" s="13"/>
    </row>
    <row r="14" spans="1:4" x14ac:dyDescent="0.2">
      <c r="A14" s="52" t="s">
        <v>271</v>
      </c>
      <c r="B14" s="49"/>
      <c r="C14" s="49"/>
      <c r="D14" s="38"/>
    </row>
    <row r="15" spans="1:4" ht="20" x14ac:dyDescent="0.2">
      <c r="A15" s="12" t="s">
        <v>272</v>
      </c>
      <c r="B15" s="3" t="s">
        <v>273</v>
      </c>
      <c r="C15" s="2" t="s">
        <v>274</v>
      </c>
      <c r="D15" s="13" t="s">
        <v>250</v>
      </c>
    </row>
    <row r="16" spans="1:4" ht="20" x14ac:dyDescent="0.2">
      <c r="A16" s="12" t="s">
        <v>275</v>
      </c>
      <c r="B16" s="3" t="s">
        <v>276</v>
      </c>
      <c r="C16" s="2" t="s">
        <v>277</v>
      </c>
      <c r="D16" s="13" t="s">
        <v>250</v>
      </c>
    </row>
    <row r="17" spans="1:4" x14ac:dyDescent="0.2">
      <c r="A17" s="52" t="s">
        <v>278</v>
      </c>
      <c r="B17" s="49"/>
      <c r="C17" s="49"/>
      <c r="D17" s="38"/>
    </row>
    <row r="18" spans="1:4" x14ac:dyDescent="0.2">
      <c r="A18" s="53" t="s">
        <v>279</v>
      </c>
      <c r="B18" s="49"/>
      <c r="C18" s="49"/>
      <c r="D18" s="38"/>
    </row>
    <row r="19" spans="1:4" ht="20" x14ac:dyDescent="0.2">
      <c r="A19" s="12" t="s">
        <v>280</v>
      </c>
      <c r="B19" s="3" t="s">
        <v>281</v>
      </c>
      <c r="C19" s="2" t="s">
        <v>282</v>
      </c>
      <c r="D19" s="13" t="s">
        <v>250</v>
      </c>
    </row>
    <row r="20" spans="1:4" ht="20" x14ac:dyDescent="0.2">
      <c r="A20" s="12" t="s">
        <v>283</v>
      </c>
      <c r="B20" s="3" t="s">
        <v>284</v>
      </c>
      <c r="C20" s="2" t="s">
        <v>285</v>
      </c>
      <c r="D20" s="13" t="s">
        <v>250</v>
      </c>
    </row>
    <row r="21" spans="1:4" ht="20" x14ac:dyDescent="0.2">
      <c r="A21" s="12" t="s">
        <v>286</v>
      </c>
      <c r="B21" s="3" t="s">
        <v>287</v>
      </c>
      <c r="C21" s="2" t="s">
        <v>288</v>
      </c>
      <c r="D21" s="13" t="s">
        <v>250</v>
      </c>
    </row>
    <row r="22" spans="1:4" x14ac:dyDescent="0.2">
      <c r="A22" s="53"/>
      <c r="B22" s="49"/>
      <c r="C22" s="49"/>
      <c r="D22" s="38"/>
    </row>
    <row r="23" spans="1:4" ht="19" x14ac:dyDescent="0.2">
      <c r="A23" s="12"/>
      <c r="B23" s="3"/>
      <c r="C23" s="2"/>
      <c r="D23" s="13"/>
    </row>
    <row r="24" spans="1:4" ht="16" x14ac:dyDescent="0.2">
      <c r="A24" s="11" t="s">
        <v>289</v>
      </c>
      <c r="B24" s="17"/>
      <c r="C24" s="17"/>
      <c r="D24" s="18"/>
    </row>
    <row r="25" spans="1:4" ht="20" x14ac:dyDescent="0.2">
      <c r="A25" s="12" t="s">
        <v>290</v>
      </c>
      <c r="B25" s="3" t="s">
        <v>291</v>
      </c>
      <c r="C25" s="2" t="s">
        <v>292</v>
      </c>
      <c r="D25" s="13" t="s">
        <v>250</v>
      </c>
    </row>
    <row r="26" spans="1:4" ht="20" x14ac:dyDescent="0.2">
      <c r="A26" s="12" t="s">
        <v>293</v>
      </c>
      <c r="B26" s="3" t="s">
        <v>294</v>
      </c>
      <c r="C26" s="2" t="s">
        <v>295</v>
      </c>
      <c r="D26" s="13" t="s">
        <v>250</v>
      </c>
    </row>
    <row r="27" spans="1:4" x14ac:dyDescent="0.2">
      <c r="A27" s="53"/>
      <c r="B27" s="49"/>
      <c r="C27" s="49"/>
      <c r="D27" s="38"/>
    </row>
    <row r="28" spans="1:4" ht="16" x14ac:dyDescent="0.2">
      <c r="A28" s="11" t="s">
        <v>296</v>
      </c>
      <c r="B28" s="17"/>
      <c r="C28" s="17"/>
      <c r="D28" s="18"/>
    </row>
    <row r="29" spans="1:4" ht="20" x14ac:dyDescent="0.2">
      <c r="A29" s="12" t="s">
        <v>208</v>
      </c>
      <c r="B29" s="3" t="s">
        <v>297</v>
      </c>
      <c r="C29" s="2" t="s">
        <v>298</v>
      </c>
      <c r="D29" s="13" t="s">
        <v>250</v>
      </c>
    </row>
    <row r="30" spans="1:4" ht="20" x14ac:dyDescent="0.2">
      <c r="A30" s="12" t="s">
        <v>299</v>
      </c>
      <c r="B30" s="3" t="s">
        <v>300</v>
      </c>
      <c r="C30" s="2" t="s">
        <v>301</v>
      </c>
      <c r="D30" s="13" t="s">
        <v>250</v>
      </c>
    </row>
    <row r="31" spans="1:4" ht="20" x14ac:dyDescent="0.2">
      <c r="A31" s="12" t="s">
        <v>302</v>
      </c>
      <c r="B31" s="3" t="s">
        <v>303</v>
      </c>
      <c r="C31" s="2" t="s">
        <v>304</v>
      </c>
      <c r="D31" s="13" t="s">
        <v>250</v>
      </c>
    </row>
    <row r="32" spans="1:4" ht="19" x14ac:dyDescent="0.2">
      <c r="A32" s="12"/>
      <c r="B32" s="3"/>
      <c r="C32" s="2"/>
      <c r="D32" s="13"/>
    </row>
    <row r="33" spans="1:4" ht="16" x14ac:dyDescent="0.2">
      <c r="A33" s="11" t="s">
        <v>305</v>
      </c>
      <c r="B33" s="17"/>
      <c r="C33" s="17"/>
      <c r="D33" s="18"/>
    </row>
    <row r="34" spans="1:4" ht="20" x14ac:dyDescent="0.2">
      <c r="A34" s="12" t="s">
        <v>306</v>
      </c>
      <c r="B34" s="3" t="s">
        <v>307</v>
      </c>
      <c r="C34" s="2" t="s">
        <v>308</v>
      </c>
      <c r="D34" s="13" t="s">
        <v>250</v>
      </c>
    </row>
    <row r="35" spans="1:4" ht="20" x14ac:dyDescent="0.2">
      <c r="A35" s="12" t="s">
        <v>309</v>
      </c>
      <c r="B35" s="3" t="s">
        <v>310</v>
      </c>
      <c r="C35" s="2" t="s">
        <v>311</v>
      </c>
      <c r="D35" s="13" t="s">
        <v>250</v>
      </c>
    </row>
  </sheetData>
  <mergeCells count="7">
    <mergeCell ref="A2:D2"/>
    <mergeCell ref="A14:D14"/>
    <mergeCell ref="A17:D17"/>
    <mergeCell ref="A18:D18"/>
    <mergeCell ref="A27:D27"/>
    <mergeCell ref="A8:D8"/>
    <mergeCell ref="A22:D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4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20" x14ac:dyDescent="0.2">
      <c r="A1" s="14" t="s">
        <v>312</v>
      </c>
    </row>
    <row r="2" spans="1:1" x14ac:dyDescent="0.2">
      <c r="A2" s="15"/>
    </row>
    <row r="3" spans="1:1" ht="17" x14ac:dyDescent="0.2">
      <c r="A3" s="16" t="s">
        <v>313</v>
      </c>
    </row>
    <row r="4" spans="1:1" ht="16" x14ac:dyDescent="0.2">
      <c r="A4" s="15" t="s">
        <v>314</v>
      </c>
    </row>
    <row r="5" spans="1:1" x14ac:dyDescent="0.2">
      <c r="A5" s="15"/>
    </row>
    <row r="6" spans="1:1" ht="16" x14ac:dyDescent="0.2">
      <c r="A6" s="15" t="s">
        <v>315</v>
      </c>
    </row>
    <row r="7" spans="1:1" ht="16" x14ac:dyDescent="0.2">
      <c r="A7" s="15" t="s">
        <v>316</v>
      </c>
    </row>
    <row r="8" spans="1:1" ht="16" x14ac:dyDescent="0.2">
      <c r="A8" s="15" t="s">
        <v>317</v>
      </c>
    </row>
    <row r="9" spans="1:1" ht="16" x14ac:dyDescent="0.2">
      <c r="A9" s="15" t="s">
        <v>318</v>
      </c>
    </row>
    <row r="10" spans="1:1" ht="16" x14ac:dyDescent="0.2">
      <c r="A10" s="15" t="s">
        <v>319</v>
      </c>
    </row>
    <row r="11" spans="1:1" ht="16" x14ac:dyDescent="0.2">
      <c r="A11" s="15" t="s">
        <v>320</v>
      </c>
    </row>
    <row r="12" spans="1:1" ht="16" x14ac:dyDescent="0.2">
      <c r="A12" s="15" t="s">
        <v>321</v>
      </c>
    </row>
    <row r="13" spans="1:1" ht="16" x14ac:dyDescent="0.2">
      <c r="A13" s="15" t="s">
        <v>322</v>
      </c>
    </row>
    <row r="14" spans="1:1" ht="16" x14ac:dyDescent="0.2">
      <c r="A14" s="15" t="s">
        <v>323</v>
      </c>
    </row>
    <row r="15" spans="1:1" x14ac:dyDescent="0.2">
      <c r="A15" s="15"/>
    </row>
    <row r="16" spans="1:1" ht="17" x14ac:dyDescent="0.2">
      <c r="A16" s="16" t="s">
        <v>324</v>
      </c>
    </row>
    <row r="17" spans="1:1" ht="16" x14ac:dyDescent="0.2">
      <c r="A17" s="15" t="s">
        <v>325</v>
      </c>
    </row>
    <row r="18" spans="1:1" ht="16" x14ac:dyDescent="0.2">
      <c r="A18" s="15" t="s">
        <v>326</v>
      </c>
    </row>
    <row r="19" spans="1:1" ht="16" x14ac:dyDescent="0.2">
      <c r="A19" s="15" t="s">
        <v>327</v>
      </c>
    </row>
    <row r="20" spans="1:1" ht="16" x14ac:dyDescent="0.2">
      <c r="A20" s="15" t="s">
        <v>328</v>
      </c>
    </row>
    <row r="21" spans="1:1" ht="16" x14ac:dyDescent="0.2">
      <c r="A21" s="15" t="s">
        <v>329</v>
      </c>
    </row>
    <row r="22" spans="1:1" ht="16" x14ac:dyDescent="0.2">
      <c r="A22" s="15" t="s">
        <v>330</v>
      </c>
    </row>
    <row r="23" spans="1:1" ht="16" x14ac:dyDescent="0.2">
      <c r="A23" s="15" t="s">
        <v>331</v>
      </c>
    </row>
    <row r="24" spans="1:1" ht="16" x14ac:dyDescent="0.2">
      <c r="A24" s="15" t="s">
        <v>332</v>
      </c>
    </row>
    <row r="25" spans="1:1" ht="16" x14ac:dyDescent="0.2">
      <c r="A25" s="15" t="s">
        <v>333</v>
      </c>
    </row>
    <row r="26" spans="1:1" x14ac:dyDescent="0.2">
      <c r="A26" s="15"/>
    </row>
    <row r="27" spans="1:1" ht="16" x14ac:dyDescent="0.2">
      <c r="A27" s="15" t="s">
        <v>334</v>
      </c>
    </row>
    <row r="28" spans="1:1" x14ac:dyDescent="0.2">
      <c r="A28" s="15"/>
    </row>
    <row r="29" spans="1:1" ht="17" x14ac:dyDescent="0.2">
      <c r="A29" s="16" t="s">
        <v>335</v>
      </c>
    </row>
    <row r="30" spans="1:1" ht="16" x14ac:dyDescent="0.2">
      <c r="A30" s="15" t="s">
        <v>336</v>
      </c>
    </row>
    <row r="31" spans="1:1" ht="16" x14ac:dyDescent="0.2">
      <c r="A31" s="15" t="s">
        <v>337</v>
      </c>
    </row>
    <row r="32" spans="1:1" ht="16" x14ac:dyDescent="0.2">
      <c r="A32" s="15" t="s">
        <v>338</v>
      </c>
    </row>
    <row r="33" spans="1:1" ht="16" x14ac:dyDescent="0.2">
      <c r="A33" s="15" t="s">
        <v>339</v>
      </c>
    </row>
    <row r="34" spans="1:1" ht="16" x14ac:dyDescent="0.2">
      <c r="A34" s="15" t="s">
        <v>340</v>
      </c>
    </row>
    <row r="35" spans="1:1" ht="16" x14ac:dyDescent="0.2">
      <c r="A35" s="15" t="s">
        <v>341</v>
      </c>
    </row>
    <row r="36" spans="1:1" ht="16" x14ac:dyDescent="0.2">
      <c r="A36" s="15" t="s">
        <v>342</v>
      </c>
    </row>
    <row r="37" spans="1:1" x14ac:dyDescent="0.2">
      <c r="A37" s="15"/>
    </row>
    <row r="38" spans="1:1" ht="17" x14ac:dyDescent="0.2">
      <c r="A38" s="16" t="s">
        <v>343</v>
      </c>
    </row>
    <row r="39" spans="1:1" ht="16" x14ac:dyDescent="0.2">
      <c r="A39" s="15" t="s">
        <v>344</v>
      </c>
    </row>
    <row r="40" spans="1:1" ht="16" x14ac:dyDescent="0.2">
      <c r="A40" s="15" t="s">
        <v>345</v>
      </c>
    </row>
    <row r="41" spans="1:1" ht="16" x14ac:dyDescent="0.2">
      <c r="A41" s="15" t="s">
        <v>346</v>
      </c>
    </row>
    <row r="42" spans="1:1" ht="16" x14ac:dyDescent="0.2">
      <c r="A42" s="15" t="s">
        <v>347</v>
      </c>
    </row>
    <row r="43" spans="1:1" x14ac:dyDescent="0.2">
      <c r="A43" s="15"/>
    </row>
    <row r="44" spans="1:1" ht="16" x14ac:dyDescent="0.2">
      <c r="A44" s="15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2026 Daily Tracker</vt:lpstr>
      <vt:lpstr>Daily Routine</vt:lpstr>
      <vt:lpstr>Monthly Summary</vt:lpstr>
      <vt:lpstr>Weekly View</vt:lpstr>
      <vt:lpstr>Goals &amp; Milestones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Ingale</cp:lastModifiedBy>
  <dcterms:created xsi:type="dcterms:W3CDTF">2025-12-30T14:34:37Z</dcterms:created>
  <dcterms:modified xsi:type="dcterms:W3CDTF">2025-12-30T14:47:47Z</dcterms:modified>
</cp:coreProperties>
</file>