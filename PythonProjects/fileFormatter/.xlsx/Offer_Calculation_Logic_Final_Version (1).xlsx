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payalingale01/Downloads/"/>
    </mc:Choice>
  </mc:AlternateContent>
  <xr:revisionPtr revIDLastSave="0" documentId="13_ncr:1_{21A6DF98-7B37-FF47-97A7-DE94C3C508BB}" xr6:coauthVersionLast="47" xr6:coauthVersionMax="47" xr10:uidLastSave="{00000000-0000-0000-0000-000000000000}"/>
  <bookViews>
    <workbookView xWindow="0" yWindow="500" windowWidth="30240" windowHeight="17500" activeTab="1" xr2:uid="{00000000-000D-0000-FFFF-FFFF00000000}"/>
  </bookViews>
  <sheets>
    <sheet name="Calculation Logic (2)" sheetId="5" r:id="rId1"/>
    <sheet name="Sheet3" sheetId="6" r:id="rId2"/>
    <sheet name="Sheet1" sheetId="4" r:id="rId3"/>
    <sheet name="RiskGrdes Breakdown" sheetId="2" r:id="rId4"/>
  </sheets>
  <definedNames>
    <definedName name="_Hlk194831240" localSheetId="3">'RiskGrdes Breakdown'!#REF!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 l="1"/>
  <c r="E5" i="6"/>
  <c r="E4" i="6"/>
  <c r="E3" i="6"/>
  <c r="E2" i="6"/>
</calcChain>
</file>

<file path=xl/sharedStrings.xml><?xml version="1.0" encoding="utf-8"?>
<sst xmlns="http://schemas.openxmlformats.org/spreadsheetml/2006/main" count="136" uniqueCount="80">
  <si>
    <t>Source / Mapping</t>
  </si>
  <si>
    <t xml:space="preserve">Please refer to the Risk Grades breakdown sheet for the annual reducing rate value.
</t>
  </si>
  <si>
    <t>Validations</t>
  </si>
  <si>
    <t>Validation Name</t>
  </si>
  <si>
    <t>Formula / Rule</t>
  </si>
  <si>
    <t>Description</t>
  </si>
  <si>
    <t>Risk Grade Validation</t>
  </si>
  <si>
    <t>IF(RiskGrade="E", "Fail", "Pass")</t>
  </si>
  <si>
    <t>If the risk grade is equal to “E”, reject the application.</t>
  </si>
  <si>
    <t>Applicant Age Maximum Maturity</t>
  </si>
  <si>
    <t>IF(monthsTo70 &lt;= 0, "Fail", "Pass")</t>
  </si>
  <si>
    <t>"Ensures the applicant’s age does not exceed the maximum allowed at loan maturity.
Remaining time to age 70 must be calculated in days 
Convert remaining days to months using this rule:
* Remaining days ≥ 15 → round up to 1 month
* Remaining days &lt; 15 → round down to 0 months
If monthsTo70 is 0 or negative, it means the applicant will reach or exceed the maximum age before or at loan maturity, and the application is automatically rejected.
Otherwise, the age validation passes, and tenor calculation continues."</t>
  </si>
  <si>
    <t>Final Eligible Tenor Validation</t>
  </si>
  <si>
    <t>finalEligibleTenor &lt; 6 months</t>
  </si>
  <si>
    <t>If the value is ≤ 6 months, reject the application.</t>
  </si>
  <si>
    <t>Exposure Percentage Validation</t>
  </si>
  <si>
    <t>(TotalExposure / EffectiveRevenue) * 100 → Must be &lt; 30%</t>
  </si>
  <si>
    <t>"Exposure percentage is calculated as total outstanding exposure divided 
by effective revenue × 100. If the percentage is ≥ 30, Reject the application."</t>
  </si>
  <si>
    <t>Disposable Income Validation</t>
  </si>
  <si>
    <t>IF(DisposableIncome &lt;= 0, "Fail", "Pass")</t>
  </si>
  <si>
    <t>If the calculated disposable income is zero or negative, reject the application.</t>
  </si>
  <si>
    <t>Final Eligible Loan Amount Validation</t>
  </si>
  <si>
    <t>IF(FinalEligibleLoanAmount &lt; 5000, "Fail", "Pass")</t>
  </si>
  <si>
    <t>"If the final calculated loan limit after all 
affordability and EMI recalculations is lest than 5k SAR,Reject the application."</t>
  </si>
  <si>
    <t>Risk Grade</t>
  </si>
  <si>
    <t>Score Range</t>
  </si>
  <si>
    <t>Risk Level</t>
  </si>
  <si>
    <t>Max Loan (SAR)</t>
  </si>
  <si>
    <t>Max Tenor (months)</t>
  </si>
  <si>
    <t>Annual Reducing  Rate (Pricing)</t>
  </si>
  <si>
    <t>A</t>
  </si>
  <si>
    <t>&gt; 84</t>
  </si>
  <si>
    <t>Lowest Risk</t>
  </si>
  <si>
    <t>B</t>
  </si>
  <si>
    <t>70 – 84</t>
  </si>
  <si>
    <t>Low Risk</t>
  </si>
  <si>
    <t>C</t>
  </si>
  <si>
    <t>56 – 69</t>
  </si>
  <si>
    <t>Moderate Risk</t>
  </si>
  <si>
    <t>D</t>
  </si>
  <si>
    <t>42 – 55</t>
  </si>
  <si>
    <t>High Risk</t>
  </si>
  <si>
    <t>E</t>
  </si>
  <si>
    <t>&lt; 42</t>
  </si>
  <si>
    <t>Very High Risk</t>
  </si>
  <si>
    <t>Rejected</t>
  </si>
  <si>
    <t>NA</t>
  </si>
  <si>
    <t>Step</t>
  </si>
  <si>
    <t>Calculation / Rule</t>
  </si>
  <si>
    <t>Tenor eligibility (policy rule)</t>
  </si>
  <si>
    <t>Effective revenue</t>
  </si>
  <si>
    <t>effectiveRevenue = MIN(declaredRevenue, last-12-month bank credits)</t>
  </si>
  <si>
    <t>Exposure (reporting + eligibility)</t>
  </si>
  <si>
    <t>Eligible loan amount before affordability (caps)</t>
  </si>
  <si>
    <t>Monthly net profit (Awan rule)</t>
  </si>
  <si>
    <t>MIN(declared annual net profit, 15% of bank credits) / 12</t>
  </si>
  <si>
    <t>First EMI check on eligible amount</t>
  </si>
  <si>
    <t>Final offer amount (policy rule)</t>
  </si>
  <si>
    <t>finalLoanAmount = MIN(P_final, requestedLoanAmount)</t>
  </si>
  <si>
    <t>Recalculate EMI (mandatory)</t>
  </si>
  <si>
    <t>Minimum loan size (final check)</t>
  </si>
  <si>
    <t>If final loan amount &lt; SAR 5,000 → Reject</t>
  </si>
  <si>
    <t>MIN(
  15%× EffectiveRevenue,
  (30% × EffectiveRevenue − TotalExposure),
  RiskGradeMaxLoanLimit
)
Reject if result ≤ 0</t>
  </si>
  <si>
    <t>declaredRevenue = user-declared annualRevenue on the Business screen
bank credits = totalIncome from Single View for last 12 months</t>
  </si>
  <si>
    <t>totalExposure = SIMAH loan balances + SIMAH revolving limits
exposurePercentage =(totalExposure / effectiveRevenue) * 100
 If the exposure percentage is ≥ 30, Reject the application.</t>
  </si>
  <si>
    <t>Declared annual net profit  = user-declared profitBeforeTax on the Business screen
Bank credits = totalIncome from Single View for last 12 months</t>
  </si>
  <si>
    <t>Monthly obligations = SIMAH_monthlyInstallments + 5% of SIMAH_revolvingCreditLimits
DisposableIncome = 50% of monthly net profit;
AvailableDisposableIncome = disposableIncome - monthlyObligations
MIN(25% of monthly net profit, availableDisposableIncome)
Reject if EMI cap ≤ 0</t>
  </si>
  <si>
    <t>MaxInstallment or Affordability (EMI cap)</t>
  </si>
  <si>
    <t xml:space="preserve">monthlyRate = annualReducingRate / 12
n = eligibleTenor
P = eligibleLoanAmount
firstCutInstallment = (P × monthlyRate) / (1 − (1 + monthlyRate)^(-n))
IF firstCutInstallment &lt;= MaxInstallment:
    finalEligibleLoanAmount = eligibleLoanAmount;
ELSE:
P_final = maxInstallment × (1 − (1 + monthlyRate)^(-n)) / monthlyRate
	finalEligibleLoanAmount = P_final
	</t>
  </si>
  <si>
    <t>Recalculate EMI on final loan amount using same tenor and rate
finalEMI = (P × monthlyRate) / (1 − (1 + monthlyRate)^(-n))
where 
	monthlyRate = annualReducingRate / 12
	n = eligibleTenor
	P = finalLoanAmount</t>
  </si>
  <si>
    <t>If the final calculated loan limit after all 
affordability and EMI recalculations is lest than 5k SAR,Reject the application.</t>
  </si>
  <si>
    <t xml:space="preserve"> finalTenor = MIN(monthsTo70, riskGradeMaxTenor); 
		   Reject the application,  if finalTenor &lt; 6</t>
  </si>
  <si>
    <r>
      <rPr>
        <b/>
        <sz val="16"/>
        <color theme="1"/>
        <rFont val="Calibri"/>
        <family val="2"/>
      </rPr>
      <t>riskGradeMaxTenor</t>
    </r>
    <r>
      <rPr>
        <sz val="16"/>
        <color theme="1"/>
        <rFont val="Calibri"/>
        <family val="2"/>
      </rPr>
      <t xml:space="preserve"> = Please refer to the Risk Grades breakdown sheet for the riskGradeMaxTenor value by risk grade.
</t>
    </r>
    <r>
      <rPr>
        <b/>
        <sz val="16"/>
        <color theme="1"/>
        <rFont val="Calibri"/>
        <family val="2"/>
      </rPr>
      <t>monthsTo70</t>
    </r>
    <r>
      <rPr>
        <sz val="16"/>
        <color theme="1"/>
        <rFont val="Calibri"/>
        <family val="2"/>
      </rPr>
      <t xml:space="preserve"> = months until age 70, Time to age 70 must be calculated in days 
Convert remaining days to months using this rule:
* Remaining days ≥ 15 → round up to 1 month
* Remaining days &lt; 15 → round down to 0 months</t>
    </r>
  </si>
  <si>
    <r>
      <t xml:space="preserve"> </t>
    </r>
    <r>
      <rPr>
        <b/>
        <sz val="16"/>
        <color theme="1"/>
        <rFont val="Calibri"/>
        <family val="2"/>
      </rPr>
      <t>SIMAH loan balances</t>
    </r>
    <r>
      <rPr>
        <sz val="16"/>
        <color theme="1"/>
        <rFont val="Calibri"/>
        <family val="2"/>
      </rPr>
      <t xml:space="preserve">: As approved, we are using 100,000 SAR until SIMAH integration is in place.
</t>
    </r>
    <r>
      <rPr>
        <b/>
        <sz val="16"/>
        <color theme="1"/>
        <rFont val="Calibri"/>
        <family val="2"/>
      </rPr>
      <t>SIMAH revolving limits</t>
    </r>
    <r>
      <rPr>
        <sz val="16"/>
        <color theme="1"/>
        <rFont val="Calibri"/>
        <family val="2"/>
      </rPr>
      <t>: As approved, we are using 50,000 SAR until SIMAH integration is in place.</t>
    </r>
  </si>
  <si>
    <r>
      <rPr>
        <b/>
        <sz val="16"/>
        <color theme="1"/>
        <rFont val="Calibri"/>
        <family val="2"/>
      </rPr>
      <t>RiskGradeMaxLoanLimit</t>
    </r>
    <r>
      <rPr>
        <sz val="16"/>
        <color theme="1"/>
        <rFont val="Calibri"/>
        <family val="2"/>
      </rPr>
      <t xml:space="preserve"> = (A:500k / B:350k / C:250k / D:125k) Please refer in the risk grades breakdown </t>
    </r>
  </si>
  <si>
    <r>
      <rPr>
        <b/>
        <sz val="16"/>
        <color theme="1"/>
        <rFont val="Calibri"/>
        <family val="2"/>
      </rPr>
      <t>SIMAH_monthlyInstallments</t>
    </r>
    <r>
      <rPr>
        <sz val="16"/>
        <color theme="1"/>
        <rFont val="Calibri"/>
        <family val="2"/>
      </rPr>
      <t xml:space="preserve"> = As approved, we are using 3000 SAR until SIMAH integration is in place.
</t>
    </r>
    <r>
      <rPr>
        <b/>
        <sz val="16"/>
        <color theme="1"/>
        <rFont val="Calibri"/>
        <family val="2"/>
      </rPr>
      <t>SIMAH_revolvingCreditLimits</t>
    </r>
    <r>
      <rPr>
        <sz val="16"/>
        <color theme="1"/>
        <rFont val="Calibri"/>
        <family val="2"/>
      </rPr>
      <t>: As approved, we are using 50,000 SAR until SIMAH integration is in place.</t>
    </r>
  </si>
  <si>
    <r>
      <rPr>
        <b/>
        <sz val="16"/>
        <color theme="1"/>
        <rFont val="Calibri"/>
        <family val="2"/>
      </rPr>
      <t>RequestedLoanAmount</t>
    </r>
    <r>
      <rPr>
        <sz val="16"/>
        <color theme="1"/>
        <rFont val="Calibri"/>
        <family val="2"/>
      </rPr>
      <t xml:space="preserve"> = user-declared requested loan amount on the Business screen</t>
    </r>
  </si>
  <si>
    <t>Declared Values</t>
  </si>
  <si>
    <t>Calculate</t>
  </si>
  <si>
    <t>Values fetch from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</si>
</sst>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b/>
      <sz val="20"/>
      <color theme="1"/>
      <name val="Aptos Narrow"/>
      <scheme val="minor"/>
    </font>
    <font>
      <sz val="20"/>
      <color theme="1"/>
      <name val="Aptos Narrow"/>
      <scheme val="minor"/>
    </font>
    <font>
      <sz val="18"/>
      <color rgb="FF212121"/>
      <name val="Aptos Narrow"/>
      <scheme val="minor"/>
    </font>
    <font>
      <b/>
      <sz val="16"/>
      <color theme="1"/>
      <name val="Calibri"/>
      <family val="2"/>
    </font>
    <font>
      <sz val="16"/>
      <color theme="1"/>
      <name val="Calibri"/>
      <family val="2"/>
    </font>
    <font>
      <sz val="12"/>
      <color rgb="FF0451A5"/>
      <name val="Monaco"/>
      <family val="2"/>
    </font>
    <font>
      <b/>
      <sz val="16"/>
      <color rgb="FF00020B"/>
      <name val="__cairo_1eed29"/>
    </font>
    <font>
      <sz val="2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1" fillId="0" borderId="1" xfId="0" applyFont="1" applyBorder="1"/>
    <xf numFmtId="0" fontId="2" fillId="0" borderId="0" xfId="0" applyFont="1"/>
    <xf numFmtId="0" fontId="3" fillId="0" borderId="1" xfId="0" applyFont="1" applyBorder="1"/>
    <xf numFmtId="10" fontId="3" fillId="0" borderId="1" xfId="0" applyNumberFormat="1" applyFont="1" applyBorder="1"/>
    <xf numFmtId="0" fontId="4"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4" fillId="0" borderId="1" xfId="0" applyFont="1" applyBorder="1" applyAlignment="1">
      <alignment horizontal="center" wrapText="1"/>
    </xf>
    <xf numFmtId="0" fontId="4" fillId="0" borderId="0" xfId="0" applyFont="1" applyAlignment="1">
      <alignment horizontal="center"/>
    </xf>
    <xf numFmtId="0" fontId="5" fillId="0" borderId="0" xfId="0" applyFont="1"/>
    <xf numFmtId="2" fontId="3" fillId="0" borderId="1" xfId="0" applyNumberFormat="1" applyFont="1" applyBorder="1"/>
    <xf numFmtId="2" fontId="2" fillId="0" borderId="0" xfId="0" applyNumberFormat="1" applyFont="1"/>
    <xf numFmtId="10" fontId="2" fillId="0" borderId="0" xfId="0" applyNumberFormat="1" applyFont="1" applyAlignment="1">
      <alignment wrapText="1"/>
    </xf>
    <xf numFmtId="10" fontId="2" fillId="0" borderId="0" xfId="0" applyNumberFormat="1" applyFont="1"/>
    <xf numFmtId="0" fontId="2" fillId="0" borderId="0" xfId="0" applyNumberFormat="1" applyFont="1"/>
    <xf numFmtId="0" fontId="5" fillId="0" borderId="2" xfId="0" applyFont="1" applyFill="1" applyBorder="1" applyAlignment="1">
      <alignment horizontal="center"/>
    </xf>
    <xf numFmtId="14" fontId="6" fillId="0" borderId="0" xfId="0" applyNumberFormat="1" applyFont="1"/>
    <xf numFmtId="0" fontId="0" fillId="0" borderId="0" xfId="0" applyNumberFormat="1"/>
    <xf numFmtId="2" fontId="7" fillId="0" borderId="0" xfId="0" applyNumberFormat="1"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B3AE-2385-8747-BDE1-6F00929198DB}">
  <dimension ref="A1:D25"/>
  <sheetViews>
    <sheetView topLeftCell="A3" zoomScale="61" workbookViewId="0">
      <selection activeCell="B5" sqref="B5"/>
    </sheetView>
  </sheetViews>
  <sheetFormatPr baseColWidth="10" defaultColWidth="8.83203125" defaultRowHeight="16"/>
  <cols>
    <col min="1" max="1" width="43.6640625" customWidth="1"/>
    <col min="2" max="2" width="67" customWidth="1"/>
    <col min="3" max="3" width="98.5" customWidth="1"/>
    <col min="4" max="4" width="118.33203125" customWidth="1"/>
  </cols>
  <sheetData>
    <row r="1" spans="1:4" ht="21">
      <c r="A1" s="6" t="s">
        <v>47</v>
      </c>
      <c r="B1" s="6" t="s">
        <v>5</v>
      </c>
      <c r="C1" s="6" t="s">
        <v>48</v>
      </c>
      <c r="D1" s="5" t="s">
        <v>0</v>
      </c>
    </row>
    <row r="2" spans="1:4" ht="173" customHeight="1">
      <c r="A2" s="6">
        <v>1</v>
      </c>
      <c r="B2" s="6" t="s">
        <v>49</v>
      </c>
      <c r="C2" s="7" t="s">
        <v>71</v>
      </c>
      <c r="D2" s="7" t="s">
        <v>72</v>
      </c>
    </row>
    <row r="3" spans="1:4" ht="149" customHeight="1">
      <c r="A3" s="6">
        <v>2</v>
      </c>
      <c r="B3" s="6" t="s">
        <v>50</v>
      </c>
      <c r="C3" s="6" t="s">
        <v>51</v>
      </c>
      <c r="D3" s="8" t="s">
        <v>63</v>
      </c>
    </row>
    <row r="4" spans="1:4" ht="153" customHeight="1">
      <c r="A4" s="6">
        <v>3</v>
      </c>
      <c r="B4" s="6" t="s">
        <v>52</v>
      </c>
      <c r="C4" s="7" t="s">
        <v>64</v>
      </c>
      <c r="D4" s="7" t="s">
        <v>73</v>
      </c>
    </row>
    <row r="5" spans="1:4" ht="132" customHeight="1">
      <c r="A5" s="6">
        <v>4</v>
      </c>
      <c r="B5" s="6" t="s">
        <v>53</v>
      </c>
      <c r="C5" s="7" t="s">
        <v>62</v>
      </c>
      <c r="D5" s="6" t="s">
        <v>74</v>
      </c>
    </row>
    <row r="6" spans="1:4" ht="80" customHeight="1">
      <c r="A6" s="6">
        <v>5</v>
      </c>
      <c r="B6" s="6" t="s">
        <v>54</v>
      </c>
      <c r="C6" s="6" t="s">
        <v>55</v>
      </c>
      <c r="D6" s="7" t="s">
        <v>65</v>
      </c>
    </row>
    <row r="7" spans="1:4" ht="162" customHeight="1">
      <c r="A7" s="6">
        <v>6</v>
      </c>
      <c r="B7" s="6" t="s">
        <v>67</v>
      </c>
      <c r="C7" s="7" t="s">
        <v>66</v>
      </c>
      <c r="D7" s="7" t="s">
        <v>75</v>
      </c>
    </row>
    <row r="8" spans="1:4" ht="259" customHeight="1">
      <c r="A8" s="6">
        <v>7</v>
      </c>
      <c r="B8" s="6" t="s">
        <v>56</v>
      </c>
      <c r="C8" s="7" t="s">
        <v>68</v>
      </c>
      <c r="D8" s="7" t="s">
        <v>1</v>
      </c>
    </row>
    <row r="9" spans="1:4" ht="62" customHeight="1">
      <c r="A9" s="6">
        <v>8</v>
      </c>
      <c r="B9" s="6" t="s">
        <v>57</v>
      </c>
      <c r="C9" s="6" t="s">
        <v>58</v>
      </c>
      <c r="D9" s="7" t="s">
        <v>76</v>
      </c>
    </row>
    <row r="10" spans="1:4" ht="163" customHeight="1">
      <c r="A10" s="6">
        <v>9</v>
      </c>
      <c r="B10" s="6" t="s">
        <v>59</v>
      </c>
      <c r="C10" s="7" t="s">
        <v>69</v>
      </c>
      <c r="D10" s="6"/>
    </row>
    <row r="11" spans="1:4" ht="64" customHeight="1">
      <c r="A11" s="6">
        <v>10</v>
      </c>
      <c r="B11" s="6" t="s">
        <v>60</v>
      </c>
      <c r="C11" s="6" t="s">
        <v>61</v>
      </c>
      <c r="D11" s="7" t="s">
        <v>70</v>
      </c>
    </row>
    <row r="18" spans="1:3" ht="21">
      <c r="A18" s="9" t="s">
        <v>2</v>
      </c>
      <c r="B18" s="10"/>
      <c r="C18" s="10"/>
    </row>
    <row r="19" spans="1:3" ht="21">
      <c r="A19" s="5" t="s">
        <v>3</v>
      </c>
      <c r="B19" s="5" t="s">
        <v>4</v>
      </c>
      <c r="C19" s="5" t="s">
        <v>5</v>
      </c>
    </row>
    <row r="20" spans="1:3" ht="44" customHeight="1">
      <c r="A20" s="6" t="s">
        <v>6</v>
      </c>
      <c r="B20" s="6" t="s">
        <v>7</v>
      </c>
      <c r="C20" s="6" t="s">
        <v>8</v>
      </c>
    </row>
    <row r="21" spans="1:3" ht="198">
      <c r="A21" s="6" t="s">
        <v>9</v>
      </c>
      <c r="B21" s="6" t="s">
        <v>10</v>
      </c>
      <c r="C21" s="7" t="s">
        <v>11</v>
      </c>
    </row>
    <row r="22" spans="1:3" ht="52" customHeight="1">
      <c r="A22" s="6" t="s">
        <v>12</v>
      </c>
      <c r="B22" s="6" t="s">
        <v>13</v>
      </c>
      <c r="C22" s="6" t="s">
        <v>14</v>
      </c>
    </row>
    <row r="23" spans="1:3" ht="75" customHeight="1">
      <c r="A23" s="6" t="s">
        <v>15</v>
      </c>
      <c r="B23" s="6" t="s">
        <v>16</v>
      </c>
      <c r="C23" s="7" t="s">
        <v>17</v>
      </c>
    </row>
    <row r="24" spans="1:3" ht="50" customHeight="1">
      <c r="A24" s="6" t="s">
        <v>18</v>
      </c>
      <c r="B24" s="6" t="s">
        <v>19</v>
      </c>
      <c r="C24" s="6" t="s">
        <v>20</v>
      </c>
    </row>
    <row r="25" spans="1:3" ht="98" customHeight="1">
      <c r="A25" s="6" t="s">
        <v>21</v>
      </c>
      <c r="B25" s="6" t="s">
        <v>22</v>
      </c>
      <c r="C25" s="7" t="s">
        <v>23</v>
      </c>
    </row>
  </sheetData>
  <mergeCells count="1">
    <mergeCell ref="A18:C18"/>
  </mergeCell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61F4-9F1D-704E-AE92-DED71DC66163}">
  <dimension ref="A1:G25"/>
  <sheetViews>
    <sheetView tabSelected="1" topLeftCell="A8" workbookViewId="0">
      <selection activeCell="F2" sqref="F2"/>
    </sheetView>
  </sheetViews>
  <sheetFormatPr baseColWidth="10" defaultColWidth="8.83203125" defaultRowHeight="16"/>
  <cols>
    <col min="1" max="1" width="43.6640625" customWidth="1"/>
    <col min="2" max="2" width="67" customWidth="1"/>
    <col min="3" max="3" width="98.5" customWidth="1"/>
    <col min="4" max="4" width="118.33203125" customWidth="1"/>
    <col min="5" max="5" width="36" customWidth="1"/>
    <col min="6" max="6" width="31.5" customWidth="1"/>
    <col min="7" max="7" width="35.83203125" customWidth="1"/>
  </cols>
  <sheetData>
    <row r="1" spans="1:7" ht="21">
      <c r="A1" s="6" t="s">
        <v>47</v>
      </c>
      <c r="B1" s="6" t="s">
        <v>5</v>
      </c>
      <c r="C1" s="6" t="s">
        <v>48</v>
      </c>
      <c r="D1" s="5" t="s">
        <v>0</v>
      </c>
      <c r="E1" s="16" t="s">
        <v>78</v>
      </c>
      <c r="F1" s="16" t="s">
        <v>77</v>
      </c>
      <c r="G1" s="16" t="s">
        <v>79</v>
      </c>
    </row>
    <row r="2" spans="1:7" ht="173" customHeight="1">
      <c r="A2" s="6">
        <v>1</v>
      </c>
      <c r="B2" s="6" t="s">
        <v>49</v>
      </c>
      <c r="C2" s="7" t="s">
        <v>71</v>
      </c>
      <c r="D2" s="7" t="s">
        <v>72</v>
      </c>
      <c r="E2" s="18">
        <f ca="1">MIN(
  24,
  MAX(0,
    DATEDIF(
      TODAY(),
      DATE(YEAR(F2)+70, MONTH(F2), DAY(F2)),
      "Y"
    )*12
    +
    DATEDIF(
      TODAY(),
      DATE(YEAR(F2)+70, MONTH(F2), DAY(F2)),
      "YM"
    )
    +
    IF(
      DATEDIF(
        TODAY(),
        DATE(YEAR(F2)+70, MONTH(F2), DAY(F2)),
        "MD"
      )&gt;=15,
      1,
      0
    )
  )
)</f>
        <v>24</v>
      </c>
      <c r="F2" s="17">
        <v>30327</v>
      </c>
    </row>
    <row r="3" spans="1:7" ht="149" customHeight="1">
      <c r="A3" s="6">
        <v>2</v>
      </c>
      <c r="B3" s="6" t="s">
        <v>50</v>
      </c>
      <c r="C3" s="6" t="s">
        <v>51</v>
      </c>
      <c r="D3" s="8" t="s">
        <v>63</v>
      </c>
      <c r="E3" s="19">
        <f>MIN(F3,G3)</f>
        <v>2760000</v>
      </c>
      <c r="F3" s="19">
        <v>3500000</v>
      </c>
      <c r="G3" s="19">
        <v>2760000</v>
      </c>
    </row>
    <row r="4" spans="1:7" ht="153" customHeight="1">
      <c r="A4" s="6">
        <v>3</v>
      </c>
      <c r="B4" s="6" t="s">
        <v>52</v>
      </c>
      <c r="C4" s="7" t="s">
        <v>64</v>
      </c>
      <c r="D4" s="7" t="s">
        <v>73</v>
      </c>
      <c r="E4" s="20">
        <f>((100000+50000)/E3)*100</f>
        <v>5.4347826086956523</v>
      </c>
    </row>
    <row r="5" spans="1:7" ht="132" customHeight="1">
      <c r="A5" s="6">
        <v>4</v>
      </c>
      <c r="B5" s="6" t="s">
        <v>53</v>
      </c>
      <c r="C5" s="7" t="s">
        <v>62</v>
      </c>
      <c r="D5" s="6" t="s">
        <v>74</v>
      </c>
      <c r="E5" s="20">
        <f>MIN(15%*E3,(30%*E3-(100000-50000)))</f>
        <v>414000</v>
      </c>
      <c r="F5" s="20"/>
    </row>
    <row r="6" spans="1:7" ht="80" customHeight="1">
      <c r="A6" s="6">
        <v>5</v>
      </c>
      <c r="B6" s="6" t="s">
        <v>54</v>
      </c>
      <c r="C6" s="6" t="s">
        <v>55</v>
      </c>
      <c r="D6" s="7" t="s">
        <v>65</v>
      </c>
      <c r="E6" s="20">
        <f>MIN(F6,(E3/12))</f>
        <v>230000</v>
      </c>
      <c r="F6" s="20">
        <v>360000</v>
      </c>
    </row>
    <row r="7" spans="1:7" ht="162" customHeight="1">
      <c r="A7" s="6">
        <v>6</v>
      </c>
      <c r="B7" s="6" t="s">
        <v>67</v>
      </c>
      <c r="C7" s="7" t="s">
        <v>66</v>
      </c>
      <c r="D7" s="7" t="s">
        <v>75</v>
      </c>
    </row>
    <row r="8" spans="1:7" ht="259" customHeight="1">
      <c r="A8" s="6">
        <v>7</v>
      </c>
      <c r="B8" s="6" t="s">
        <v>56</v>
      </c>
      <c r="C8" s="7" t="s">
        <v>68</v>
      </c>
      <c r="D8" s="7" t="s">
        <v>1</v>
      </c>
    </row>
    <row r="9" spans="1:7" ht="62" customHeight="1">
      <c r="A9" s="6">
        <v>8</v>
      </c>
      <c r="B9" s="6" t="s">
        <v>57</v>
      </c>
      <c r="C9" s="6" t="s">
        <v>58</v>
      </c>
      <c r="D9" s="7" t="s">
        <v>76</v>
      </c>
    </row>
    <row r="10" spans="1:7" ht="163" customHeight="1">
      <c r="A10" s="6">
        <v>9</v>
      </c>
      <c r="B10" s="6" t="s">
        <v>59</v>
      </c>
      <c r="C10" s="7" t="s">
        <v>69</v>
      </c>
      <c r="D10" s="6"/>
    </row>
    <row r="11" spans="1:7" ht="64" customHeight="1">
      <c r="A11" s="6">
        <v>10</v>
      </c>
      <c r="B11" s="6" t="s">
        <v>60</v>
      </c>
      <c r="C11" s="6" t="s">
        <v>61</v>
      </c>
      <c r="D11" s="7" t="s">
        <v>70</v>
      </c>
    </row>
    <row r="18" spans="1:3" ht="21">
      <c r="A18" s="9" t="s">
        <v>2</v>
      </c>
      <c r="B18" s="10"/>
      <c r="C18" s="10"/>
    </row>
    <row r="19" spans="1:3" ht="21">
      <c r="A19" s="5" t="s">
        <v>3</v>
      </c>
      <c r="B19" s="5" t="s">
        <v>4</v>
      </c>
      <c r="C19" s="5" t="s">
        <v>5</v>
      </c>
    </row>
    <row r="20" spans="1:3" ht="44" customHeight="1">
      <c r="A20" s="6" t="s">
        <v>6</v>
      </c>
      <c r="B20" s="6" t="s">
        <v>7</v>
      </c>
      <c r="C20" s="6" t="s">
        <v>8</v>
      </c>
    </row>
    <row r="21" spans="1:3" ht="198">
      <c r="A21" s="6" t="s">
        <v>9</v>
      </c>
      <c r="B21" s="6" t="s">
        <v>10</v>
      </c>
      <c r="C21" s="7" t="s">
        <v>11</v>
      </c>
    </row>
    <row r="22" spans="1:3" ht="52" customHeight="1">
      <c r="A22" s="6" t="s">
        <v>12</v>
      </c>
      <c r="B22" s="6" t="s">
        <v>13</v>
      </c>
      <c r="C22" s="6" t="s">
        <v>14</v>
      </c>
    </row>
    <row r="23" spans="1:3" ht="75" customHeight="1">
      <c r="A23" s="6" t="s">
        <v>15</v>
      </c>
      <c r="B23" s="6" t="s">
        <v>16</v>
      </c>
      <c r="C23" s="7" t="s">
        <v>17</v>
      </c>
    </row>
    <row r="24" spans="1:3" ht="50" customHeight="1">
      <c r="A24" s="6" t="s">
        <v>18</v>
      </c>
      <c r="B24" s="6" t="s">
        <v>19</v>
      </c>
      <c r="C24" s="6" t="s">
        <v>20</v>
      </c>
    </row>
    <row r="25" spans="1:3" ht="98" customHeight="1">
      <c r="A25" s="6" t="s">
        <v>21</v>
      </c>
      <c r="B25" s="6" t="s">
        <v>22</v>
      </c>
      <c r="C25" s="7" t="s">
        <v>23</v>
      </c>
    </row>
  </sheetData>
  <mergeCells count="1">
    <mergeCell ref="A18:C18"/>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851FF-A5B0-4149-B0EA-F6E89AEB57F7}">
  <dimension ref="A1"/>
  <sheetViews>
    <sheetView workbookViewId="0"/>
  </sheetViews>
  <sheetFormatPr baseColWidth="10" defaultRowHeight="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selection sqref="A1:F6"/>
    </sheetView>
  </sheetViews>
  <sheetFormatPr baseColWidth="10" defaultColWidth="8.83203125" defaultRowHeight="27"/>
  <cols>
    <col min="1" max="1" width="19" style="2" customWidth="1"/>
    <col min="2" max="2" width="19.5" style="2" customWidth="1"/>
    <col min="3" max="3" width="22" style="2" customWidth="1"/>
    <col min="4" max="4" width="23.6640625" style="2" customWidth="1"/>
    <col min="5" max="5" width="36.1640625" style="2" customWidth="1"/>
    <col min="6" max="6" width="41.6640625" style="2" customWidth="1"/>
    <col min="7" max="7" width="44.33203125" style="2" customWidth="1"/>
    <col min="8" max="8" width="29.5" style="2" customWidth="1"/>
    <col min="9" max="9" width="15.6640625" style="2" bestFit="1" customWidth="1"/>
    <col min="10" max="10" width="18" style="2" customWidth="1"/>
    <col min="11" max="16384" width="8.83203125" style="2"/>
  </cols>
  <sheetData>
    <row r="1" spans="1:9">
      <c r="A1" s="1" t="s">
        <v>24</v>
      </c>
      <c r="B1" s="1" t="s">
        <v>25</v>
      </c>
      <c r="C1" s="1" t="s">
        <v>26</v>
      </c>
      <c r="D1" s="1" t="s">
        <v>27</v>
      </c>
      <c r="E1" s="1" t="s">
        <v>28</v>
      </c>
      <c r="F1" s="1" t="s">
        <v>29</v>
      </c>
    </row>
    <row r="2" spans="1:9" ht="59" customHeight="1">
      <c r="A2" s="3" t="s">
        <v>30</v>
      </c>
      <c r="B2" s="3" t="s">
        <v>31</v>
      </c>
      <c r="C2" s="3" t="s">
        <v>32</v>
      </c>
      <c r="D2" s="11">
        <v>500000</v>
      </c>
      <c r="E2" s="3">
        <v>36</v>
      </c>
      <c r="F2" s="4">
        <v>0.1457</v>
      </c>
      <c r="G2" s="12"/>
      <c r="H2" s="13"/>
      <c r="I2" s="12"/>
    </row>
    <row r="3" spans="1:9">
      <c r="A3" s="3" t="s">
        <v>33</v>
      </c>
      <c r="B3" s="3" t="s">
        <v>34</v>
      </c>
      <c r="C3" s="3" t="s">
        <v>35</v>
      </c>
      <c r="D3" s="11">
        <v>350000</v>
      </c>
      <c r="E3" s="3">
        <v>24</v>
      </c>
      <c r="F3" s="4">
        <v>0.182</v>
      </c>
      <c r="H3" s="15"/>
    </row>
    <row r="4" spans="1:9">
      <c r="A4" s="3" t="s">
        <v>36</v>
      </c>
      <c r="B4" s="3" t="s">
        <v>37</v>
      </c>
      <c r="C4" s="3" t="s">
        <v>38</v>
      </c>
      <c r="D4" s="11">
        <v>250000</v>
      </c>
      <c r="E4" s="3">
        <v>24</v>
      </c>
      <c r="F4" s="4">
        <v>0.22</v>
      </c>
      <c r="H4" s="15"/>
    </row>
    <row r="5" spans="1:9">
      <c r="A5" s="3" t="s">
        <v>39</v>
      </c>
      <c r="B5" s="3" t="s">
        <v>40</v>
      </c>
      <c r="C5" s="3" t="s">
        <v>41</v>
      </c>
      <c r="D5" s="11">
        <v>125000</v>
      </c>
      <c r="E5" s="3">
        <v>18</v>
      </c>
      <c r="F5" s="4">
        <v>0.27300000000000002</v>
      </c>
      <c r="H5" s="14"/>
    </row>
    <row r="6" spans="1:9">
      <c r="A6" s="3" t="s">
        <v>42</v>
      </c>
      <c r="B6" s="3" t="s">
        <v>43</v>
      </c>
      <c r="C6" s="3" t="s">
        <v>44</v>
      </c>
      <c r="D6" s="11" t="s">
        <v>45</v>
      </c>
      <c r="E6" s="3">
        <v>0</v>
      </c>
      <c r="F6" s="3" t="s">
        <v>46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Calculation Logic (2)</vt:lpstr>
      <vt:lpstr>Sheet3</vt:lpstr>
      <vt:lpstr>Sheet1</vt:lpstr>
      <vt:lpstr>RiskGrdes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Irfan</dc:creator>
  <cp:lastModifiedBy>Payal Ingale</cp:lastModifiedBy>
  <dcterms:created xsi:type="dcterms:W3CDTF">2025-11-23T11:21:45Z</dcterms:created>
  <dcterms:modified xsi:type="dcterms:W3CDTF">2025-12-29T13:13:40Z</dcterms:modified>
</cp:coreProperties>
</file>